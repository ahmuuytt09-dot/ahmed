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6db90409307eee/Desktop/SIEMENS EHS decuments/"/>
    </mc:Choice>
  </mc:AlternateContent>
  <xr:revisionPtr revIDLastSave="77" documentId="13_ncr:1_{74FE7F57-B5E4-461B-8D2C-5BA193E4D56C}" xr6:coauthVersionLast="47" xr6:coauthVersionMax="47" xr10:uidLastSave="{9931F5C6-1A25-45B9-A163-859BC429B0A1}"/>
  <bookViews>
    <workbookView xWindow="-110" yWindow="-110" windowWidth="19420" windowHeight="11500" activeTab="2" xr2:uid="{00000000-000D-0000-FFFF-FFFF00000000}"/>
  </bookViews>
  <sheets>
    <sheet name="EHS Communication (2)" sheetId="13" r:id="rId1"/>
    <sheet name="EHS Incıdent" sheetId="8" r:id="rId2"/>
    <sheet name="CAPA List " sheetId="14" r:id="rId3"/>
    <sheet name="EHS KPI" sheetId="7" r:id="rId4"/>
    <sheet name="Environmental" sheetId="5" r:id="rId5"/>
  </sheets>
  <definedNames>
    <definedName name="_xlnm.Print_Area" localSheetId="3">'EHS KPI'!$A$1:$N$54</definedName>
    <definedName name="_xlnm.Print_Titles" localSheetId="3">'EHS KPI'!#REF!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<sst xmlns="http://schemas.openxmlformats.org/spreadsheetml/2006/main" count="233" uniqueCount="115">
  <si>
    <t>EHS KPIs</t>
  </si>
  <si>
    <t xml:space="preserve"> </t>
  </si>
  <si>
    <t>Toolbox</t>
  </si>
  <si>
    <t>EHS Meeting</t>
  </si>
  <si>
    <t>Site Induction Trainning/body count</t>
  </si>
  <si>
    <t>Site Inspection</t>
  </si>
  <si>
    <t>EHS Awards</t>
  </si>
  <si>
    <t>SWAT(DIV/BU)</t>
  </si>
  <si>
    <t>Work Permit</t>
  </si>
  <si>
    <t xml:space="preserve">Re-Active Events </t>
  </si>
  <si>
    <t>LTC- LTD</t>
  </si>
  <si>
    <t>Fatality</t>
  </si>
  <si>
    <t>Lost Time Case</t>
  </si>
  <si>
    <t>Lost Time Date</t>
  </si>
  <si>
    <t>Restricted Work Case</t>
  </si>
  <si>
    <t>Medical Treatment Case</t>
  </si>
  <si>
    <t>First Aid Case</t>
  </si>
  <si>
    <t>Damage</t>
  </si>
  <si>
    <t>Travel</t>
  </si>
  <si>
    <t>Environmental Event</t>
  </si>
  <si>
    <t xml:space="preserve">Pro-Active  Events </t>
  </si>
  <si>
    <t>CAPA List</t>
  </si>
  <si>
    <t>Near Mıss</t>
  </si>
  <si>
    <t>Completed</t>
  </si>
  <si>
    <t>Unsafe Condution</t>
  </si>
  <si>
    <t>Holding</t>
  </si>
  <si>
    <t>Incompleted</t>
  </si>
  <si>
    <t xml:space="preserve">CAPA
</t>
  </si>
  <si>
    <t xml:space="preserve">Date of Detection </t>
  </si>
  <si>
    <t xml:space="preserve">Unsafe Situation/ Behavior </t>
  </si>
  <si>
    <t xml:space="preserve">Photo </t>
  </si>
  <si>
    <t xml:space="preserve">Deadline </t>
  </si>
  <si>
    <t xml:space="preserve">Action to take </t>
  </si>
  <si>
    <t xml:space="preserve">Responsible </t>
  </si>
  <si>
    <t xml:space="preserve">Status </t>
  </si>
  <si>
    <t>actual</t>
  </si>
  <si>
    <t>previous</t>
  </si>
  <si>
    <t>Days without Lost Time Case*</t>
  </si>
  <si>
    <t>Working hours without Lost Time Case*</t>
  </si>
  <si>
    <t>Number of Lost Time Cases YTD*</t>
  </si>
  <si>
    <t>Number of Lost Days YTD*</t>
  </si>
  <si>
    <t>Manhours</t>
  </si>
  <si>
    <t>Oct</t>
  </si>
  <si>
    <t>Nov</t>
  </si>
  <si>
    <t>Dec</t>
  </si>
  <si>
    <t>Jan</t>
  </si>
  <si>
    <t>Febr</t>
  </si>
  <si>
    <t>Mar</t>
  </si>
  <si>
    <t>Apr</t>
  </si>
  <si>
    <t>May</t>
  </si>
  <si>
    <t>Jun</t>
  </si>
  <si>
    <t>July</t>
  </si>
  <si>
    <t>Aug</t>
  </si>
  <si>
    <t>Sep</t>
  </si>
  <si>
    <t>YTD</t>
  </si>
  <si>
    <t>Manhours Siemens Enerji</t>
  </si>
  <si>
    <t xml:space="preserve">Manhours Subcontractors </t>
  </si>
  <si>
    <t xml:space="preserve">                                         </t>
  </si>
  <si>
    <t xml:space="preserve">Total Manhours </t>
  </si>
  <si>
    <t>EHS Events</t>
  </si>
  <si>
    <t>Oct.</t>
  </si>
  <si>
    <t>Nov.</t>
  </si>
  <si>
    <t>Dec.</t>
  </si>
  <si>
    <t>Jan.</t>
  </si>
  <si>
    <t>Feb.</t>
  </si>
  <si>
    <t>Mar.</t>
  </si>
  <si>
    <t>Apr.</t>
  </si>
  <si>
    <t>Jul</t>
  </si>
  <si>
    <t>Sept</t>
  </si>
  <si>
    <t>Accident Frequency Rate</t>
  </si>
  <si>
    <t>Total Recordable Injury Rate</t>
  </si>
  <si>
    <t>Environmental Frequency Rate</t>
  </si>
  <si>
    <t>Water Consumption</t>
  </si>
  <si>
    <t xml:space="preserve"> (m3)</t>
  </si>
  <si>
    <t>Electricity Comsuption</t>
  </si>
  <si>
    <t xml:space="preserve"> (kW)</t>
  </si>
  <si>
    <t>Domestic Waste</t>
  </si>
  <si>
    <t>(kg)</t>
  </si>
  <si>
    <t>Plastic Waste</t>
  </si>
  <si>
    <t>Metal Waste</t>
  </si>
  <si>
    <t>Paper Waste</t>
  </si>
  <si>
    <t>Glass Waste</t>
  </si>
  <si>
    <t>Danger Waste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</si>
  <si>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</si>
  <si>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</si>
  <si>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</si>
  <si>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</si>
  <si>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</si>
  <si>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</si>
  <si>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</si>
  <si>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</si>
  <si>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</si>
  <si>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</si>
  <si>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</si>
  <si>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</si>
  <si>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DOF0001</t>
  </si>
  <si>
    <t>DOF0002</t>
  </si>
  <si>
    <t>DOF0003</t>
  </si>
  <si>
    <t>DOF0004</t>
  </si>
  <si>
    <t>DOF0005</t>
  </si>
  <si>
    <t>OPENED</t>
  </si>
  <si>
    <t>CLOSED</t>
  </si>
  <si>
    <t>DOF0006</t>
  </si>
  <si>
    <t>DOF0007</t>
  </si>
  <si>
    <t>DOF0008</t>
  </si>
  <si>
    <t>DOF0009</t>
  </si>
  <si>
    <t>DOF0010</t>
  </si>
  <si>
    <t>DOF0011</t>
  </si>
  <si>
    <t>DOF0012</t>
  </si>
  <si>
    <t>DOF0013</t>
  </si>
  <si>
    <t>DOF0014</t>
  </si>
  <si>
    <t>DOF0015</t>
  </si>
  <si>
    <t>DOF0016</t>
  </si>
  <si>
    <t>Onsite EHS Induction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</si>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</sst>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scheme val="minor"/>
    </font>
    <font>
      <sz val="12"/>
      <color theme="1"/>
      <name val="Arial"/>
      <family val="2"/>
      <charset val="16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sz val="9"/>
      <color theme="1"/>
      <name val="Tahoma"/>
      <family val="2"/>
      <charset val="16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6"/>
      <color rgb="FF000000"/>
      <name val="Verdana"/>
      <family val="2"/>
    </font>
    <font>
      <sz val="10"/>
      <color rgb="FF000000"/>
      <name val="Verdana"/>
      <family val="2"/>
      <charset val="16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48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AEDB6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A5A5A5"/>
      </bottom>
      <diagonal/>
    </border>
    <border>
      <left/>
      <right/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CFDDEE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0" fillId="0" borderId="0" applyFont="0" applyFill="0" applyBorder="0" applyAlignment="0" applyProtection="0"/>
  </cellStyleXfs>
  <cellXfs count="88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6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9" xfId="0" applyFont="1" applyBorder="1"/>
    <xf numFmtId="1" fontId="9" fillId="4" borderId="0" xfId="0" applyNumberFormat="1" applyFont="1" applyFill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10" xfId="0" applyBorder="1"/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4" fillId="0" borderId="0" xfId="0" applyFont="1"/>
    <xf numFmtId="0" fontId="5" fillId="5" borderId="0" xfId="0" applyFont="1" applyFill="1" applyAlignment="1">
      <alignment vertical="center"/>
    </xf>
    <xf numFmtId="0" fontId="0" fillId="5" borderId="0" xfId="0" applyFill="1"/>
    <xf numFmtId="0" fontId="6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0" borderId="12" xfId="0" applyFont="1" applyBorder="1"/>
    <xf numFmtId="1" fontId="11" fillId="4" borderId="6" xfId="0" applyNumberFormat="1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 vertical="top" wrapText="1" readingOrder="1"/>
    </xf>
    <xf numFmtId="0" fontId="17" fillId="10" borderId="0" xfId="0" applyFont="1" applyFill="1" applyAlignment="1">
      <alignment vertical="center" wrapText="1"/>
    </xf>
    <xf numFmtId="0" fontId="17" fillId="10" borderId="0" xfId="0" applyFont="1" applyFill="1" applyAlignment="1">
      <alignment vertical="center"/>
    </xf>
    <xf numFmtId="0" fontId="17" fillId="10" borderId="1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0" borderId="0" xfId="0" applyFont="1"/>
    <xf numFmtId="49" fontId="14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24" fillId="0" borderId="13" xfId="0" applyFont="1" applyBorder="1" applyAlignment="1">
      <alignment horizontal="center" vertical="center" wrapText="1"/>
    </xf>
    <xf numFmtId="0" fontId="0" fillId="0" borderId="13" xfId="0" applyBorder="1"/>
    <xf numFmtId="0" fontId="6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 wrapText="1" readingOrder="1"/>
    </xf>
    <xf numFmtId="0" fontId="23" fillId="11" borderId="16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 wrapText="1"/>
    </xf>
    <xf numFmtId="0" fontId="27" fillId="0" borderId="13" xfId="0" applyFont="1" applyBorder="1"/>
    <xf numFmtId="0" fontId="24" fillId="9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 applyProtection="1">
      <alignment horizontal="center" vertical="center" wrapText="1"/>
      <protection locked="0"/>
    </xf>
    <xf numFmtId="0" fontId="24" fillId="12" borderId="13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7" xfId="0" applyBorder="1"/>
    <xf numFmtId="0" fontId="14" fillId="0" borderId="0" xfId="0" applyFont="1" applyAlignment="1">
      <alignment horizontal="right"/>
    </xf>
    <xf numFmtId="17" fontId="14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2" fillId="11" borderId="16" xfId="0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vertical="center"/>
    </xf>
    <xf numFmtId="14" fontId="25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 readingOrder="1"/>
    </xf>
    <xf numFmtId="0" fontId="28" fillId="0" borderId="13" xfId="0" applyFont="1" applyBorder="1" applyAlignment="1">
      <alignment horizontal="center" vertical="center" wrapText="1"/>
    </xf>
    <xf numFmtId="14" fontId="26" fillId="12" borderId="1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14" fontId="23" fillId="0" borderId="13" xfId="0" applyNumberFormat="1" applyFont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3" fillId="11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7" fillId="10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" fontId="11" fillId="4" borderId="6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1" fontId="11" fillId="4" borderId="3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right"/>
    </xf>
    <xf numFmtId="1" fontId="12" fillId="3" borderId="7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1" fillId="7" borderId="14" xfId="0" applyFont="1" applyFill="1" applyBorder="1" applyAlignment="1">
      <alignment horizontal="left" vertical="top" wrapText="1" readingOrder="1"/>
    </xf>
    <xf numFmtId="0" fontId="21" fillId="7" borderId="0" xfId="0" applyFont="1" applyFill="1" applyAlignment="1">
      <alignment horizontal="left" vertical="top" wrapText="1" readingOrder="1"/>
    </xf>
    <xf numFmtId="0" fontId="21" fillId="7" borderId="15" xfId="0" applyFont="1" applyFill="1" applyBorder="1" applyAlignment="1">
      <alignment horizontal="left" vertical="top" wrapText="1" readingOrder="1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104">
    <dxf>
      <font>
        <b/>
        <i val="0"/>
        <color rgb="FFFFFFFF"/>
      </font>
      <fill>
        <patternFill patternType="solid">
          <fgColor indexed="64"/>
          <bgColor rgb="FF51CF66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</dxfs>
  <tableStyles count="0" defaultTableStyle="TableStyleMedium9" defaultPivotStyle="PivotStyleLight16"/>
  <colors>
    <mruColors>
      <color rgb="FFFFCC66"/>
      <color rgb="FFFFCC00"/>
      <color rgb="FF0DB39F"/>
      <color rgb="FFFFFFFF"/>
      <color rgb="FF0FADB1"/>
      <color rgb="FF99FFCC"/>
      <color rgb="FF66FF99"/>
      <color rgb="FF10B4B8"/>
      <color rgb="FF1FB7A9"/>
      <color rgb="FF0CA8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Communication (2)'!$A$3</c:f>
              <c:strCache>
                <c:ptCount val="1"/>
                <c:pt idx="0">
                  <c:v>Toolbox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(2)'!$B$3:$H$3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E42C-44DF-9098-38BE4CC35851}"/>
            </c:ext>
          </c:extLst>
        </c:ser>
        <c:ser>
          <c:idx val="1"/>
          <c:order val="1"/>
          <c:tx>
            <c:strRef>
              <c:f>'EHS Communication (2)'!$A$4</c:f>
              <c:strCache>
                <c:ptCount val="1"/>
                <c:pt idx="0">
                  <c:v>EHS Meeting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(2)'!$B$4:$H$4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E42C-44DF-9098-38BE4CC35851}"/>
            </c:ext>
          </c:extLst>
        </c:ser>
        <c:ser>
          <c:idx val="2"/>
          <c:order val="2"/>
          <c:tx>
            <c:strRef>
              <c:f>'EHS Communication (2)'!$A$5</c:f>
              <c:strCache>
                <c:ptCount val="1"/>
                <c:pt idx="0">
                  <c:v>Site Induction Trainning/body count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(2)'!$B$5:$H$5</c:f>
              <c:numCache>
                <c:formatCode>@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E42C-44DF-9098-38BE4CC35851}"/>
            </c:ext>
          </c:extLst>
        </c:ser>
        <c:ser>
          <c:idx val="3"/>
          <c:order val="3"/>
          <c:tx>
            <c:strRef>
              <c:f>'EHS Communication (2)'!$A$6</c:f>
              <c:strCache>
                <c:ptCount val="1"/>
                <c:pt idx="0">
                  <c:v>Site Inspection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(2)'!$B$6:$H$6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E42C-44DF-9098-38BE4CC35851}"/>
            </c:ext>
          </c:extLst>
        </c:ser>
        <c:ser>
          <c:idx val="4"/>
          <c:order val="4"/>
          <c:tx>
            <c:strRef>
              <c:f>'EHS Communication (2)'!$A$7</c:f>
              <c:strCache>
                <c:ptCount val="1"/>
                <c:pt idx="0">
                  <c:v>EHS Awards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(2)'!$B$7:$H$7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005E-4606-B604-EB5A990F5E93}"/>
            </c:ext>
          </c:extLst>
        </c:ser>
        <c:ser>
          <c:idx val="5"/>
          <c:order val="5"/>
          <c:tx>
            <c:strRef>
              <c:f>'EHS Communication (2)'!$A$8</c:f>
              <c:strCache>
                <c:ptCount val="1"/>
                <c:pt idx="0">
                  <c:v>SWAT(DIV/BU)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(2)'!$B$8:$H$8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005E-4606-B604-EB5A990F5E93}"/>
            </c:ext>
          </c:extLst>
        </c:ser>
        <c:ser>
          <c:idx val="6"/>
          <c:order val="6"/>
          <c:tx>
            <c:strRef>
              <c:f>'EHS Communication (2)'!$A$9</c:f>
              <c:strCache>
                <c:ptCount val="1"/>
                <c:pt idx="0">
                  <c:v>Work Permit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(2)'!$B$9:$H$9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005E-4606-B604-EB5A990F5E93}"/>
            </c:ext>
          </c:extLst>
        </c:ser>
        <c:ser>
          <c:idx val="7"/>
          <c:order val="7"/>
          <c:tx>
            <c:strRef>
              <c:f>'EHS Communication (2)'!$A$10</c:f>
              <c:strCache>
                <c:ptCount val="1"/>
                <c:pt idx="0">
                  <c:v>Onsite EHS Induction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Communication (2)'!$B$10:$H$10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005E-4606-B604-EB5A990F5E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98112"/>
        <c:axId val="123912192"/>
      </c:barChart>
      <c:catAx>
        <c:axId val="123898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3912192"/>
        <c:crosses val="autoZero"/>
        <c:auto val="1"/>
        <c:lblAlgn val="ctr"/>
        <c:lblOffset val="100"/>
        <c:noMultiLvlLbl val="0"/>
      </c:catAx>
      <c:valAx>
        <c:axId val="1239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89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910962557312281"/>
          <c:y val="7.3404047634541544E-2"/>
          <c:w val="0.20960770667186199"/>
          <c:h val="0.7681856296888508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533594768297865E-2"/>
          <c:y val="5.7154756481886046E-2"/>
          <c:w val="0.73487915905399204"/>
          <c:h val="0.8292601028177263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'EHS Incıdent'!$A$10</c:f>
              <c:strCache>
                <c:ptCount val="1"/>
                <c:pt idx="0">
                  <c:v>Environmental Event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Incıdent'!$B$10:$H$10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C-4013-889A-FFD114880719}"/>
            </c:ext>
          </c:extLst>
        </c:ser>
        <c:ser>
          <c:idx val="6"/>
          <c:order val="1"/>
          <c:tx>
            <c:strRef>
              <c:f>'EHS Incıdent'!$A$9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Incıdent'!$B$9:$H$9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C-4013-889A-FFD114880719}"/>
            </c:ext>
          </c:extLst>
        </c:ser>
        <c:ser>
          <c:idx val="5"/>
          <c:order val="2"/>
          <c:tx>
            <c:strRef>
              <c:f>'EHS Incıdent'!$A$8</c:f>
              <c:strCache>
                <c:ptCount val="1"/>
                <c:pt idx="0">
                  <c:v>Damage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Incıdent'!$B$8:$H$8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C-4013-889A-FFD114880719}"/>
            </c:ext>
          </c:extLst>
        </c:ser>
        <c:ser>
          <c:idx val="4"/>
          <c:order val="3"/>
          <c:tx>
            <c:strRef>
              <c:f>'EHS Incıdent'!$A$7</c:f>
              <c:strCache>
                <c:ptCount val="1"/>
                <c:pt idx="0">
                  <c:v>First Aid Case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Incıdent'!$B$7:$H$7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C-4013-889A-FFD114880719}"/>
            </c:ext>
          </c:extLst>
        </c:ser>
        <c:ser>
          <c:idx val="3"/>
          <c:order val="4"/>
          <c:tx>
            <c:strRef>
              <c:f>'EHS Incıdent'!$A$6</c:f>
              <c:strCache>
                <c:ptCount val="1"/>
                <c:pt idx="0">
                  <c:v>Medical Treatment Case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Incıdent'!$B$6:$H$6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C-4013-889A-FFD114880719}"/>
            </c:ext>
          </c:extLst>
        </c:ser>
        <c:ser>
          <c:idx val="2"/>
          <c:order val="5"/>
          <c:tx>
            <c:strRef>
              <c:f>'EHS Incıdent'!$A$5</c:f>
              <c:strCache>
                <c:ptCount val="1"/>
                <c:pt idx="0">
                  <c:v>Restricted Work Case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AC-4013-889A-FFD114880719}"/>
            </c:ext>
          </c:extLst>
        </c:ser>
        <c:ser>
          <c:idx val="1"/>
          <c:order val="6"/>
          <c:tx>
            <c:strRef>
              <c:f>'EHS Incıdent'!$A$4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Incıdent'!$B$4:$H$4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C-4013-889A-FFD114880719}"/>
            </c:ext>
          </c:extLst>
        </c:ser>
        <c:ser>
          <c:idx val="0"/>
          <c:order val="7"/>
          <c:tx>
            <c:strRef>
              <c:f>'EHS Incıdent'!$A$3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Incıdent'!$B$3:$H$3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AC-4013-889A-FFD1148807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943104"/>
        <c:axId val="134944640"/>
      </c:barChart>
      <c:catAx>
        <c:axId val="13494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944640"/>
        <c:crosses val="autoZero"/>
        <c:auto val="1"/>
        <c:lblAlgn val="ctr"/>
        <c:lblOffset val="100"/>
        <c:noMultiLvlLbl val="0"/>
      </c:catAx>
      <c:valAx>
        <c:axId val="13494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95504071240279"/>
          <c:y val="9.8283633062255987E-2"/>
          <c:w val="0.16821890734822456"/>
          <c:h val="0.7269849509394464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239171563745593E-2"/>
          <c:y val="2.7628843340301565E-2"/>
          <c:w val="0.81555087635436396"/>
          <c:h val="0.836313844153103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'EHS Incıdent'!$O$3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Incıdent'!$P$2:$V$2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Incıdent'!$P$3:$V$3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E-4F33-88CB-B316406AB8CB}"/>
            </c:ext>
          </c:extLst>
        </c:ser>
        <c:ser>
          <c:idx val="1"/>
          <c:order val="1"/>
          <c:tx>
            <c:strRef>
              <c:f>'EHS Incıdent'!$O$4</c:f>
              <c:strCache>
                <c:ptCount val="1"/>
                <c:pt idx="0">
                  <c:v>Lost Time Date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Incıdent'!$P$2:$V$2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Incıdent'!$P$4:$V$4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E-4F33-88CB-B316406AB8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982272"/>
        <c:axId val="134992256"/>
      </c:barChart>
      <c:catAx>
        <c:axId val="13498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992256"/>
        <c:crosses val="autoZero"/>
        <c:auto val="1"/>
        <c:lblAlgn val="ctr"/>
        <c:lblOffset val="100"/>
        <c:noMultiLvlLbl val="0"/>
      </c:catAx>
      <c:valAx>
        <c:axId val="13499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8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77183471666788E-2"/>
          <c:y val="7.3925327834836879E-2"/>
          <c:w val="0.80804120894184372"/>
          <c:h val="0.834019199430870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'EHS Incıdent'!$A$33</c:f>
              <c:strCache>
                <c:ptCount val="1"/>
                <c:pt idx="0">
                  <c:v>Near Mıss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Incıdent'!$B$32:$H$32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Incıdent'!$B$33:$H$33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C-4540-803A-71620F6E4AC9}"/>
            </c:ext>
          </c:extLst>
        </c:ser>
        <c:ser>
          <c:idx val="1"/>
          <c:order val="1"/>
          <c:tx>
            <c:strRef>
              <c:f>'EHS Incıdent'!$A$34</c:f>
              <c:strCache>
                <c:ptCount val="1"/>
                <c:pt idx="0">
                  <c:v>Unsafe Condution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Incıdent'!$B$32:$H$32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Incıdent'!$B$34:$H$34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C-4540-803A-71620F6E4A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5095424"/>
        <c:axId val="135096960"/>
      </c:barChart>
      <c:catAx>
        <c:axId val="13509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5096960"/>
        <c:crosses val="autoZero"/>
        <c:auto val="1"/>
        <c:lblAlgn val="ctr"/>
        <c:lblOffset val="100"/>
        <c:noMultiLvlLbl val="0"/>
      </c:catAx>
      <c:valAx>
        <c:axId val="13509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682046175096281"/>
          <c:y val="0.41868278094528566"/>
          <c:w val="0.12888157469062347"/>
          <c:h val="0.1626344381094285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Incıdent'!$O$33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Incıdent'!$P$32:$V$32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Incıdent'!$P$33:$V$33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D25-4330-8E7F-9AE93C41F6AF}"/>
            </c:ext>
          </c:extLst>
        </c:ser>
        <c:ser>
          <c:idx val="1"/>
          <c:order val="1"/>
          <c:tx>
            <c:strRef>
              <c:f>'EHS Incıdent'!$O$34</c:f>
              <c:strCache>
                <c:ptCount val="1"/>
                <c:pt idx="0">
                  <c:v>Holding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Incıdent'!$P$32:$V$32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Incıdent'!$P$34:$V$34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D25-4330-8E7F-9AE93C41F6AF}"/>
            </c:ext>
          </c:extLst>
        </c:ser>
        <c:ser>
          <c:idx val="2"/>
          <c:order val="2"/>
          <c:tx>
            <c:strRef>
              <c:f>'EHS Incıdent'!$O$35</c:f>
              <c:strCache>
                <c:ptCount val="1"/>
                <c:pt idx="0">
                  <c:v>Incompleted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Incıdent'!$P$32:$V$32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Incıdent'!$P$35:$V$35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D25-4330-8E7F-9AE93C41F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136000"/>
        <c:axId val="135137536"/>
      </c:barChart>
      <c:catAx>
        <c:axId val="135136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5137536"/>
        <c:crosses val="autoZero"/>
        <c:auto val="1"/>
        <c:lblAlgn val="ctr"/>
        <c:lblOffset val="100"/>
        <c:noMultiLvlLbl val="0"/>
      </c:catAx>
      <c:valAx>
        <c:axId val="13513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3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8063702735848934E-3"/>
          <c:y val="0.12251308900523562"/>
          <c:w val="0.70935460578344733"/>
          <c:h val="0.5672512401918347"/>
        </c:manualLayout>
      </c:layout>
      <c:pie3D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zero"/>
    <c:showDLblsOverMax val="0"/>
  </c:chart>
  <c:spPr>
    <a:noFill/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FY 26</a:t>
            </a:r>
            <a:r>
              <a:rPr lang="en-US" baseline="0"/>
              <a:t> </a:t>
            </a:r>
            <a:r>
              <a:rPr lang="en-US"/>
              <a:t>Manhours </a:t>
            </a:r>
            <a:r>
              <a:rPr lang="en-US" baseline="0"/>
              <a:t>&amp; KPIs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KPI'!$A$12:$B$12</c:f>
              <c:strCache>
                <c:ptCount val="2"/>
                <c:pt idx="0">
                  <c:v>Manhours Siemens Enerji</c:v>
                </c:pt>
                <c:pt idx="1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'EHS KPI'!$C$11:$I$11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KPI'!$C$12:$I$12</c:f>
              <c:numCache>
                <c:formatCode>0</c:formatCode>
                <c:ptCount val="7"/>
                <c:pt idx="0">
                  <c:v>208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B-452D-B04A-420C3AC1A227}"/>
            </c:ext>
          </c:extLst>
        </c:ser>
        <c:ser>
          <c:idx val="2"/>
          <c:order val="1"/>
          <c:tx>
            <c:strRef>
              <c:f>'EHS KPI'!$A$13</c:f>
              <c:strCache>
                <c:ptCount val="1"/>
                <c:pt idx="0">
                  <c:v>Manhours Subcontractors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'EHS KPI'!$C$11:$I$11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'EHS KPI'!$C$13:$I$13</c:f>
              <c:numCache>
                <c:formatCode>0</c:formatCode>
                <c:ptCount val="7"/>
                <c:pt idx="0">
                  <c:v>2296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B-452D-B04A-420C3AC1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2834048"/>
        <c:axId val="152835968"/>
      </c:barChart>
      <c:lineChart>
        <c:grouping val="standard"/>
        <c:varyColors val="0"/>
        <c:ser>
          <c:idx val="3"/>
          <c:order val="2"/>
          <c:tx>
            <c:strRef>
              <c:f>'EHS KPI'!$A$30</c:f>
              <c:strCache>
                <c:ptCount val="1"/>
                <c:pt idx="0">
                  <c:v>Accident Frequency Rate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'EHS KPI'!#REF!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'EHS KPI'!$C$30:$I$30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B-452D-B04A-420C3AC1A227}"/>
            </c:ext>
          </c:extLst>
        </c:ser>
        <c:ser>
          <c:idx val="4"/>
          <c:order val="3"/>
          <c:tx>
            <c:strRef>
              <c:f>'EHS KPI'!$A$31</c:f>
              <c:strCache>
                <c:ptCount val="1"/>
                <c:pt idx="0">
                  <c:v>Total Recordable Injury Rate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'EHS KPI'!#REF!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'EHS KPI'!$C$31:$I$31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B-452D-B04A-420C3AC1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43392"/>
        <c:axId val="152837504"/>
      </c:lineChart>
      <c:catAx>
        <c:axId val="15283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5968"/>
        <c:crosses val="autoZero"/>
        <c:auto val="1"/>
        <c:lblAlgn val="ctr"/>
        <c:lblOffset val="100"/>
        <c:noMultiLvlLbl val="0"/>
      </c:catAx>
      <c:valAx>
        <c:axId val="1528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4048"/>
        <c:crosses val="autoZero"/>
        <c:crossBetween val="between"/>
      </c:valAx>
      <c:valAx>
        <c:axId val="1528375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3392"/>
        <c:crosses val="max"/>
        <c:crossBetween val="between"/>
      </c:valAx>
      <c:catAx>
        <c:axId val="15284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283750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  <a:scene3d>
      <a:camera prst="orthographicFront"/>
      <a:lightRig rig="threePt" dir="t"/>
    </a:scene3d>
    <a:sp3d prstMaterial="powder"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Environmental!$A$3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Environmental!$B$3:$H$3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0BC-4DF0-9434-F316E6A510B4}"/>
            </c:ext>
          </c:extLst>
        </c:ser>
        <c:ser>
          <c:idx val="1"/>
          <c:order val="1"/>
          <c:tx>
            <c:strRef>
              <c:f>Environmental!$A$4</c:f>
              <c:strCache>
                <c:ptCount val="1"/>
                <c:pt idx="0">
                  <c:v>Electricity Comsuption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Environmental!$B$4:$H$4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0BC-4DF0-9434-F316E6A510B4}"/>
            </c:ext>
          </c:extLst>
        </c:ser>
        <c:ser>
          <c:idx val="2"/>
          <c:order val="2"/>
          <c:tx>
            <c:strRef>
              <c:f>Environmental!$A$5</c:f>
              <c:strCache>
                <c:ptCount val="1"/>
                <c:pt idx="0">
                  <c:v>Domestic Waste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Environmental!$B$5:$H$5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90BC-4DF0-9434-F316E6A510B4}"/>
            </c:ext>
          </c:extLst>
        </c:ser>
        <c:ser>
          <c:idx val="3"/>
          <c:order val="3"/>
          <c:tx>
            <c:strRef>
              <c:f>Environmental!$A$6</c:f>
              <c:strCache>
                <c:ptCount val="1"/>
                <c:pt idx="0">
                  <c:v>Plastic Waste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Environmental!$B$6:$H$6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90BC-4DF0-9434-F316E6A510B4}"/>
            </c:ext>
          </c:extLst>
        </c:ser>
        <c:ser>
          <c:idx val="4"/>
          <c:order val="4"/>
          <c:tx>
            <c:strRef>
              <c:f>Environmental!$A$7</c:f>
              <c:strCache>
                <c:ptCount val="1"/>
                <c:pt idx="0">
                  <c:v>Metal 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Environmental!$B$7:$H$7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90BC-4DF0-9434-F316E6A510B4}"/>
            </c:ext>
          </c:extLst>
        </c:ser>
        <c:ser>
          <c:idx val="5"/>
          <c:order val="5"/>
          <c:tx>
            <c:strRef>
              <c:f>Environmental!$A$8</c:f>
              <c:strCache>
                <c:ptCount val="1"/>
                <c:pt idx="0">
                  <c:v>Paper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Environmental!$B$8:$H$8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1837-4491-8DB4-3D6EA862F40E}"/>
            </c:ext>
          </c:extLst>
        </c:ser>
        <c:ser>
          <c:idx val="6"/>
          <c:order val="6"/>
          <c:tx>
            <c:strRef>
              <c:f>Environmental!$A$9</c:f>
              <c:strCache>
                <c:ptCount val="1"/>
                <c:pt idx="0">
                  <c:v>Glass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Environmental!$B$9:$H$9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AD05-42F1-AD7C-A84869997056}"/>
            </c:ext>
          </c:extLst>
        </c:ser>
        <c:ser>
          <c:idx val="7"/>
          <c:order val="7"/>
          <c:tx>
            <c:strRef>
              <c:f>Environmental!$A$10</c:f>
              <c:strCache>
                <c:ptCount val="1"/>
                <c:pt idx="0">
                  <c:v>Danger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Environmental!$B$2:$H$2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Environmental!$B$10:$H$10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AD05-42F1-AD7C-A848699970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98112"/>
        <c:axId val="123912192"/>
      </c:barChart>
      <c:catAx>
        <c:axId val="123898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3912192"/>
        <c:crosses val="autoZero"/>
        <c:auto val="1"/>
        <c:lblAlgn val="ctr"/>
        <c:lblOffset val="100"/>
        <c:noMultiLvlLbl val="0"/>
      </c:catAx>
      <c:valAx>
        <c:axId val="1239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898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94720</xdr:colOff>
      <xdr:row>11</xdr:row>
      <xdr:rowOff>148431</xdr:rowOff>
    </xdr:from>
    <xdr:to>
      <xdr:col>13</xdr:col>
      <xdr:colOff>66146</xdr:colOff>
      <xdr:row>28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93726-A5C2-45EC-86FC-E5DE80914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137906</xdr:colOff>
      <xdr:row>10</xdr:row>
      <xdr:rowOff>102704</xdr:rowOff>
    </xdr:from>
    <xdr:to>
      <xdr:col>12</xdr:col>
      <xdr:colOff>604631</xdr:colOff>
      <xdr:row>27</xdr:row>
      <xdr:rowOff>93179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4</xdr:row>
      <xdr:rowOff>180975</xdr:rowOff>
    </xdr:from>
    <xdr:to>
      <xdr:col>27</xdr:col>
      <xdr:colOff>9525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76200</xdr:rowOff>
    </xdr:from>
    <xdr:to>
      <xdr:col>12</xdr:col>
      <xdr:colOff>600075</xdr:colOff>
      <xdr:row>52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19049</xdr:colOff>
      <xdr:row>35</xdr:row>
      <xdr:rowOff>142875</xdr:rowOff>
    </xdr:from>
    <xdr:to>
      <xdr:col>26</xdr:col>
      <xdr:colOff>609599</xdr:colOff>
      <xdr:row>52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75451</xdr:colOff>
      <xdr:row>1</xdr:row>
      <xdr:rowOff>24465</xdr:rowOff>
    </xdr:from>
    <xdr:to>
      <xdr:col>10</xdr:col>
      <xdr:colOff>75452</xdr:colOff>
      <xdr:row>6</xdr:row>
      <xdr:rowOff>13446</xdr:rowOff>
    </xdr:to>
    <xdr:sp macro="" textlink="">
      <xdr:nvSpPr>
        <xdr:cNvPr id="3" name="Rectangle à coins arrondis 1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5451" y="218700"/>
          <a:ext cx="5446060" cy="1034864"/>
        </a:xfrm>
        <a:prstGeom prst="roundRect">
          <a:avLst/>
        </a:prstGeom>
        <a:noFill/>
        <a:ln>
          <a:solidFill>
            <a:srgbClr val="10B4B8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21</xdr:col>
      <xdr:colOff>19050</xdr:colOff>
      <xdr:row>6</xdr:row>
      <xdr:rowOff>0</xdr:rowOff>
    </xdr:from>
    <xdr:to>
      <xdr:col>23</xdr:col>
      <xdr:colOff>600075</xdr:colOff>
      <xdr:row>7</xdr:row>
      <xdr:rowOff>0</xdr:rowOff>
    </xdr:to>
    <xdr:graphicFrame macro="">
      <xdr:nvGraphicFramePr>
        <xdr:cNvPr id="5" name="Graphique 2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12326</xdr:colOff>
      <xdr:row>33</xdr:row>
      <xdr:rowOff>20170</xdr:rowOff>
    </xdr:from>
    <xdr:to>
      <xdr:col>15</xdr:col>
      <xdr:colOff>371475</xdr:colOff>
      <xdr:row>52</xdr:row>
      <xdr:rowOff>96370</xdr:rowOff>
    </xdr:to>
    <xdr:graphicFrame macro="">
      <xdr:nvGraphicFramePr>
        <xdr:cNvPr id="7" name="Graphique 1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21960</xdr:colOff>
      <xdr:row>11</xdr:row>
      <xdr:rowOff>29369</xdr:rowOff>
    </xdr:from>
    <xdr:to>
      <xdr:col>12</xdr:col>
      <xdr:colOff>601927</xdr:colOff>
      <xdr:row>28</xdr:row>
      <xdr:rowOff>19844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23AE2A-1C2D-496D-8AD1-33CFDC410785}" name="Table19" displayName="Table19" ref="A2:I10" totalsRowShown="0" headerRowDxfId="103" dataDxfId="102" tableBorderDxfId="101">
  <tableColumns count="9">
    <tableColumn id="1" name=" " dataDxfId="100"/>
    <tableColumn id="2" name="Mon" dataDxfId="99"/>
    <tableColumn id="3" name="Tue" dataDxfId="98"/>
    <tableColumn id="4" name="Wed" dataDxfId="97"/>
    <tableColumn id="5" name="Thu" dataDxfId="96"/>
    <tableColumn id="6" name="Fri" dataDxfId="95"/>
    <tableColumn id="7" name="Sat" dataDxfId="94"/>
    <tableColumn id="8" name="Sun" dataDxfId="93"/>
    <tableColumn id="9" name="Week Total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2:I10" totalsRowShown="0" headerRowDxfId="87" dataDxfId="86" tableBorderDxfId="85">
  <tableColumns count="9">
    <tableColumn id="1" name=" " dataDxfId="84"/>
    <tableColumn id="2" name="Mon" dataDxfId="83"/>
    <tableColumn id="3" name="Tue" dataDxfId="82"/>
    <tableColumn id="4" name="Wed" dataDxfId="81"/>
    <tableColumn id="5" name="Thu" dataDxfId="80"/>
    <tableColumn id="6" name="Fri" dataDxfId="79"/>
    <tableColumn id="7" name="Sat" dataDxfId="78"/>
    <tableColumn id="8" name="Sun" dataDxfId="77"/>
    <tableColumn id="9" name="Week Total" dataDxfId="7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16" displayName="Table16" ref="A32:I34" totalsRowShown="0" headerRowDxfId="71" dataDxfId="70" tableBorderDxfId="69">
  <tableColumns count="9">
    <tableColumn id="1" name=" " dataDxfId="68"/>
    <tableColumn id="2" name="Mon" dataDxfId="67"/>
    <tableColumn id="3" name="Tue" dataDxfId="66"/>
    <tableColumn id="4" name="Wed" dataDxfId="65"/>
    <tableColumn id="5" name="Thu" dataDxfId="64"/>
    <tableColumn id="6" name="Fri" dataDxfId="63"/>
    <tableColumn id="7" name="Sat" dataDxfId="62"/>
    <tableColumn id="8" name="Sun" dataDxfId="61"/>
    <tableColumn id="9" name="Week Total" dataDxfId="6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17" displayName="Table17" ref="O32:W35" totalsRowShown="0" headerRowDxfId="55" dataDxfId="54" tableBorderDxfId="53">
  <tableColumns count="9">
    <tableColumn id="1" name=" " dataDxfId="52"/>
    <tableColumn id="2" name="Mon" dataDxfId="51"/>
    <tableColumn id="3" name="Tue" dataDxfId="50"/>
    <tableColumn id="4" name="Wed" dataDxfId="49"/>
    <tableColumn id="5" name="Thu" dataDxfId="48"/>
    <tableColumn id="6" name="Fri" dataDxfId="47"/>
    <tableColumn id="7" name="Sat" dataDxfId="46"/>
    <tableColumn id="8" name="Sun" dataDxfId="45"/>
    <tableColumn id="9" name="Week Total" dataDxfId="4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5" displayName="Table15" ref="O2:W4" totalsRowShown="0" headerRowDxfId="39" dataDxfId="38" tableBorderDxfId="37">
  <tableColumns count="9">
    <tableColumn id="1" name=" " dataDxfId="36"/>
    <tableColumn id="2" name="Mon" dataDxfId="35"/>
    <tableColumn id="3" name="Tue" dataDxfId="34"/>
    <tableColumn id="4" name="Wed" dataDxfId="33"/>
    <tableColumn id="5" name="Thu" dataDxfId="32"/>
    <tableColumn id="6" name="Fri" dataDxfId="31"/>
    <tableColumn id="7" name="Sat" dataDxfId="30"/>
    <tableColumn id="8" name="Sun" dataDxfId="29"/>
    <tableColumn id="9" name="Week Total" dataDxfId="2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0" totalsRowShown="0" headerRowDxfId="23" dataDxfId="22" tableBorderDxfId="21">
  <tableColumns count="9">
    <tableColumn id="1" name=" " dataDxfId="20"/>
    <tableColumn id="2" name="Mon" dataDxfId="19"/>
    <tableColumn id="3" name="Tue" dataDxfId="18"/>
    <tableColumn id="4" name="Wed" dataDxfId="17"/>
    <tableColumn id="5" name="Thu" dataDxfId="16"/>
    <tableColumn id="6" name="Fri" dataDxfId="15"/>
    <tableColumn id="7" name="Sat" dataDxfId="14"/>
    <tableColumn id="8" name="Sun" dataDxfId="13"/>
    <tableColumn id="9" name="Week Total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459C07-14A7-4144-BD20-D68B4EF15230}">
  <dimension ref="A1:M11"/>
  <sheetViews>
    <sheetView zoomScale="80" zoomScaleNormal="80" workbookViewId="0">
      <selection activeCell="F8" sqref="F8"/>
    </sheetView>
  </sheetViews>
  <sheetFormatPr defaultRowHeight="12.5" ns3:dyDescent="0.25"/>
  <cols>
    <col min="1" max="1" width="35.81640625" customWidth="1"/>
    <col min="2" max="3" width="8.81640625" customWidth="1"/>
    <col min="12" max="12" width="10.1796875" bestFit="1" customWidth="1"/>
    <col min="2" max="8" width="9.0" customWidth="1"/>
    <col min="9" max="9" width="12.0" customWidth="1"/>
    <col min="11" max="11" width="42.0" customWidth="1"/>
  </cols>
  <sheetData>
    <row r="1" spans="1:11" ht="14" ns3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K1" s="27">
        <f>"Week "&amp;TEXT('EHS KPI'!$G$7,"00")&amp;"  |  "&amp;TEXT('EHS KPI'!$G$8,"dd mmm yyyy")&amp;"  -  "&amp;TEXT('EHS KPI'!$G$9,"dd mmm yyyy")</f>
      </c>
    </row>
    <row r="2" spans="1:9" ht="14" ns3:dyDescent="0.25">
      <c r="A2" s="27" t="s">
        <v>1</v>
      </c>
      <c r="B2" s="28" t="inlineStr">
        <is>
          <t>Mon</t>
        </is>
      </c>
      <c r="C2" s="28" t="inlineStr">
        <is>
          <t>Tue</t>
        </is>
      </c>
      <c r="D2" s="28" t="inlineStr">
        <is>
          <t>Wed</t>
        </is>
      </c>
      <c r="E2" s="28" t="inlineStr">
        <is>
          <t>Thu</t>
        </is>
      </c>
      <c r="F2" s="28" t="inlineStr">
        <is>
          <t>Fri</t>
        </is>
      </c>
      <c r="G2" s="28" t="inlineStr">
        <is>
          <t>Sat</t>
        </is>
      </c>
      <c r="H2" s="28" t="inlineStr">
        <is>
          <t>Sun</t>
        </is>
      </c>
      <c r="I2" s="28" t="inlineStr">
        <is>
          <t>Week Total</t>
        </is>
      </c>
    </row>
    <row r="3" spans="1:9" ht="15.5" ns3:dyDescent="0.35">
      <c r="A3" s="19" t="s">
        <v>2</v>
      </c>
      <c r="B3" s="19"/>
      <c r="C3" s="19"/>
      <c r="D3" s="19"/>
      <c r="E3" s="19"/>
      <c r="F3" s="19"/>
      <c r="G3" s="19"/>
      <c r="H3" s="19"/>
      <c r="I3" s="19">
        <f>SUM(B3:H3)</f>
      </c>
    </row>
    <row r="4" spans="1:9" ht="15.5" ns3:dyDescent="0.35">
      <c r="A4" s="19" t="s">
        <v>3</v>
      </c>
      <c r="B4" s="19"/>
      <c r="C4" s="19"/>
      <c r="D4" s="19"/>
      <c r="E4" s="19"/>
      <c r="F4" s="19"/>
      <c r="G4" s="19"/>
      <c r="H4" s="19"/>
      <c r="I4" s="19">
        <f>SUM(B4:H4)</f>
      </c>
    </row>
    <row r="5" spans="1:9" ht="15.5" ns3:dyDescent="0.35">
      <c r="A5" s="19" t="s">
        <v>4</v>
      </c>
      <c r="B5" s="32"/>
      <c r="C5" s="32"/>
      <c r="D5" s="32"/>
      <c r="E5" s="32"/>
      <c r="F5" s="32"/>
      <c r="G5" s="32"/>
      <c r="H5" s="32"/>
      <c r="I5" s="32">
        <f>SUM(B5:H5)</f>
      </c>
    </row>
    <row r="6" spans="1:9" ht="15.5" ns3:dyDescent="0.35">
      <c r="A6" s="19" t="s">
        <v>5</v>
      </c>
      <c r="B6" s="19"/>
      <c r="C6" s="19"/>
      <c r="D6" s="19"/>
      <c r="E6" s="19"/>
      <c r="F6" s="19"/>
      <c r="G6" s="19"/>
      <c r="H6" s="19"/>
      <c r="I6" s="19">
        <f>SUM(B6:H6)</f>
      </c>
    </row>
    <row r="7" spans="1:9" ht="15.5" ns3:dyDescent="0.35">
      <c r="A7" s="30" t="s">
        <v>6</v>
      </c>
      <c r="B7" s="30"/>
      <c r="C7" s="19"/>
      <c r="D7" s="30"/>
      <c r="E7" s="30"/>
      <c r="F7" s="30"/>
      <c r="G7" s="30"/>
      <c r="H7" s="30"/>
      <c r="I7" s="30">
        <f>SUM(B7:H7)</f>
      </c>
    </row>
    <row r="8" spans="1:9" ht="15.5" ns3:dyDescent="0.35">
      <c r="A8" s="19" t="s">
        <v>7</v>
      </c>
      <c r="B8" s="19"/>
      <c r="C8" s="19"/>
      <c r="D8" s="19"/>
      <c r="E8" s="19"/>
      <c r="F8" s="19"/>
      <c r="G8" s="19"/>
      <c r="H8" s="19"/>
      <c r="I8" s="19">
        <f>SUM(B8:H8)</f>
      </c>
    </row>
    <row r="9" spans="1:9" ht="15.5" ns3:dyDescent="0.35">
      <c r="A9" s="30" t="s">
        <v>8</v>
      </c>
      <c r="B9" s="30"/>
      <c r="C9" s="19"/>
      <c r="D9" s="30"/>
      <c r="E9" s="30"/>
      <c r="F9" s="30"/>
      <c r="G9" s="30"/>
      <c r="H9" s="30"/>
      <c r="I9" s="30">
        <f>SUM(B9:H9)</f>
      </c>
    </row>
    <row r="10" spans="1:9" ht="15.5" ns3:dyDescent="0.35">
      <c r="A10" s="30" t="s">
        <v>113</v>
      </c>
      <c r="B10" s="30"/>
      <c r="C10" s="19"/>
      <c r="D10" s="30"/>
      <c r="E10" s="30"/>
      <c r="F10" s="30"/>
      <c r="G10" s="30"/>
      <c r="H10" s="30"/>
      <c r="I10" s="30">
        <f>SUM(B10:H10)</f>
      </c>
    </row>
    <row r="11" spans="1:13" ht="15.5" ns3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</sheetData>
  <phoneticPr fontId="16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dimension ref="A1:AG53"/>
  <sheetViews>
    <sheetView topLeftCell="A30" zoomScale="57" zoomScaleNormal="57" workbookViewId="0">
      <selection activeCell="I57" sqref="I57"/>
    </sheetView>
  </sheetViews>
  <sheetFormatPr defaultRowHeight="12.5" ns3:dyDescent="0.25"/>
  <cols>
    <col min="1" max="1" width="24.1796875" bestFit="1" customWidth="1"/>
    <col min="14" max="14" width="4.1796875" customWidth="1"/>
    <col min="15" max="15" width="15.1796875" bestFit="1" customWidth="1"/>
    <col min="2" max="8" width="9.0" customWidth="1"/>
    <col min="9" max="9" width="12.0" customWidth="1"/>
    <col min="11" max="11" width="42.0" customWidth="1"/>
    <col min="16" max="22" width="9.0" customWidth="1"/>
    <col min="23" max="23" width="12.0" customWidth="1"/>
  </cols>
  <sheetData>
    <row r="1" spans="1:27" ht="18.75" customHeight="1" ns3:dyDescent="0.25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>
        <f>"Week "&amp;TEXT('EHS KPI'!$G$7,"00")&amp;"  |  "&amp;TEXT('EHS KPI'!$G$8,"dd mmm yyyy")&amp;"  -  "&amp;TEXT('EHS KPI'!$G$9,"dd mmm yyyy")</f>
      </c>
      <c r="L1" s="28"/>
      <c r="M1" s="28"/>
      <c r="N1" s="20"/>
      <c r="O1" s="28" t="s">
        <v>10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33" ht="15.5" ns3:dyDescent="0.35">
      <c r="A2" s="27" t="s">
        <v>1</v>
      </c>
      <c r="B2" s="28" t="inlineStr">
        <is>
          <t>Mon</t>
        </is>
      </c>
      <c r="C2" s="28" t="inlineStr">
        <is>
          <t>Tue</t>
        </is>
      </c>
      <c r="D2" s="28" t="inlineStr">
        <is>
          <t>Wed</t>
        </is>
      </c>
      <c r="E2" s="28" t="inlineStr">
        <is>
          <t>Thu</t>
        </is>
      </c>
      <c r="F2" s="28" t="inlineStr">
        <is>
          <t>Fri</t>
        </is>
      </c>
      <c r="G2" s="28" t="inlineStr">
        <is>
          <t>Sat</t>
        </is>
      </c>
      <c r="H2" s="28" t="inlineStr">
        <is>
          <t>Sun</t>
        </is>
      </c>
      <c r="I2" s="28" t="inlineStr">
        <is>
          <t>Week Total</t>
        </is>
      </c>
      <c r="N2" s="20"/>
      <c r="O2" s="19" t="s">
        <v>1</v>
      </c>
      <c r="P2" s="28" t="inlineStr">
        <is>
          <t>Mon</t>
        </is>
      </c>
      <c r="Q2" s="28" t="inlineStr">
        <is>
          <t>Tue</t>
        </is>
      </c>
      <c r="R2" s="28" t="inlineStr">
        <is>
          <t>Wed</t>
        </is>
      </c>
      <c r="S2" s="28" t="inlineStr">
        <is>
          <t>Thu</t>
        </is>
      </c>
      <c r="T2" s="28" t="inlineStr">
        <is>
          <t>Fri</t>
        </is>
      </c>
      <c r="U2" s="28" t="inlineStr">
        <is>
          <t>Sat</t>
        </is>
      </c>
      <c r="V2" s="28" t="inlineStr">
        <is>
          <t>Sun</t>
        </is>
      </c>
      <c r="W2" s="28" t="inlineStr">
        <is>
          <t>Week Total</t>
        </is>
      </c>
      <c r="AC2" s="24"/>
      <c r="AD2" s="24"/>
      <c r="AE2" s="24"/>
      <c r="AF2" s="24"/>
      <c r="AG2" s="24"/>
    </row>
    <row r="3" spans="1:23" ht="15.5" ns3:dyDescent="0.35">
      <c r="A3" s="19" t="s">
        <v>12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f>SUM(B3:H3)</f>
      </c>
      <c r="N3" s="21"/>
      <c r="O3" s="19" t="s">
        <v>12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f>SUM(P3:V3)</f>
      </c>
    </row>
    <row r="4" spans="1:23" ht="15.5" ns3:dyDescent="0.35">
      <c r="A4" s="19" t="s">
        <v>12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f>SUM(B4:H4)</f>
      </c>
      <c r="N4" s="21"/>
      <c r="O4" s="19" t="s">
        <v>13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f>SUM(P4:V4)</f>
      </c>
    </row>
    <row r="5" spans="1:14" ht="15.5" ns3:dyDescent="0.35">
      <c r="A5" s="19" t="s">
        <v>14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f>SUM(B5:H5)</f>
      </c>
      <c r="N5" s="21"/>
    </row>
    <row r="6" spans="1:14" ht="15.5" ns3:dyDescent="0.35">
      <c r="A6" s="19" t="s">
        <v>15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f>SUM(B6:H6)</f>
      </c>
      <c r="N6" s="21"/>
    </row>
    <row r="7" spans="1:14" ht="15.5" ns3:dyDescent="0.35">
      <c r="A7" s="19" t="s">
        <v>16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f>SUM(B7:H7)</f>
      </c>
      <c r="N7" s="21"/>
    </row>
    <row r="8" spans="1:14" ht="15.5" ns3:dyDescent="0.35">
      <c r="A8" s="19" t="s">
        <v>17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f>SUM(B8:H8)</f>
      </c>
      <c r="N8" s="21"/>
    </row>
    <row r="9" spans="1:14" ht="15.5" ns3:dyDescent="0.35">
      <c r="A9" s="19" t="s">
        <v>18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f>SUM(B9:H9)</f>
      </c>
      <c r="N9" s="21"/>
    </row>
    <row r="10" spans="1:14" ht="15.5" ns3:dyDescent="0.35">
      <c r="A10" s="19" t="s">
        <v>19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f>SUM(B10:H10)</f>
      </c>
      <c r="N10" s="21"/>
    </row>
    <row r="11" spans="14:14" ns3:dyDescent="0.25">
      <c r="N11" s="21"/>
    </row>
    <row r="12" spans="14:14" ns3:dyDescent="0.25">
      <c r="N12" s="21"/>
    </row>
    <row r="13" spans="14:14" ns3:dyDescent="0.25">
      <c r="N13" s="21"/>
    </row>
    <row r="14" spans="14:14" ns3:dyDescent="0.25">
      <c r="N14" s="21"/>
    </row>
    <row r="15" spans="14:14" ns3:dyDescent="0.25">
      <c r="N15" s="21"/>
    </row>
    <row r="16" spans="14:14" ns3:dyDescent="0.25">
      <c r="N16" s="21"/>
    </row>
    <row r="17" spans="14:14" ns3:dyDescent="0.25">
      <c r="N17" s="21"/>
    </row>
    <row r="18" spans="14:14" ns3:dyDescent="0.25">
      <c r="N18" s="21"/>
    </row>
    <row r="19" spans="14:14" ns3:dyDescent="0.25">
      <c r="N19" s="21"/>
    </row>
    <row r="20" spans="14:14" ns3:dyDescent="0.25">
      <c r="N20" s="21"/>
    </row>
    <row r="21" spans="14:14" ns3:dyDescent="0.25">
      <c r="N21" s="21"/>
    </row>
    <row r="22" spans="14:14" ns3:dyDescent="0.25">
      <c r="N22" s="21"/>
    </row>
    <row r="23" spans="14:14" ns3:dyDescent="0.25">
      <c r="N23" s="21"/>
    </row>
    <row r="24" spans="14:14" ns3:dyDescent="0.25">
      <c r="N24" s="21"/>
    </row>
    <row r="25" spans="14:14" ns3:dyDescent="0.25">
      <c r="N25" s="21"/>
    </row>
    <row r="26" spans="14:14" ns3:dyDescent="0.25">
      <c r="N26" s="21"/>
    </row>
    <row r="27" spans="14:14" ns3:dyDescent="0.25">
      <c r="N27" s="21"/>
    </row>
    <row r="28" spans="14:14" ns3:dyDescent="0.25">
      <c r="N28" s="21"/>
    </row>
    <row r="29" spans="1:27" ns3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ns3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4.5" thickBot="1" ns3:dyDescent="0.3">
      <c r="A31" s="29" t="s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1"/>
      <c r="O31" s="29" t="s">
        <v>21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3" ht="15.5" ns3:dyDescent="0.35">
      <c r="A32" s="19" t="s">
        <v>1</v>
      </c>
      <c r="B32" s="28" t="inlineStr">
        <is>
          <t>Mon</t>
        </is>
      </c>
      <c r="C32" s="28" t="inlineStr">
        <is>
          <t>Tue</t>
        </is>
      </c>
      <c r="D32" s="28" t="inlineStr">
        <is>
          <t>Wed</t>
        </is>
      </c>
      <c r="E32" s="28" t="inlineStr">
        <is>
          <t>Thu</t>
        </is>
      </c>
      <c r="F32" s="28" t="inlineStr">
        <is>
          <t>Fri</t>
        </is>
      </c>
      <c r="G32" s="28" t="inlineStr">
        <is>
          <t>Sat</t>
        </is>
      </c>
      <c r="H32" s="28" t="inlineStr">
        <is>
          <t>Sun</t>
        </is>
      </c>
      <c r="I32" s="28" t="inlineStr">
        <is>
          <t>Week Total</t>
        </is>
      </c>
      <c r="N32" s="21"/>
      <c r="O32" s="19" t="s">
        <v>1</v>
      </c>
      <c r="P32" s="28" t="inlineStr">
        <is>
          <t>Mon</t>
        </is>
      </c>
      <c r="Q32" s="28" t="inlineStr">
        <is>
          <t>Tue</t>
        </is>
      </c>
      <c r="R32" s="28" t="inlineStr">
        <is>
          <t>Wed</t>
        </is>
      </c>
      <c r="S32" s="28" t="inlineStr">
        <is>
          <t>Thu</t>
        </is>
      </c>
      <c r="T32" s="28" t="inlineStr">
        <is>
          <t>Fri</t>
        </is>
      </c>
      <c r="U32" s="28" t="inlineStr">
        <is>
          <t>Sat</t>
        </is>
      </c>
      <c r="V32" s="28" t="inlineStr">
        <is>
          <t>Sun</t>
        </is>
      </c>
      <c r="W32" s="28" t="inlineStr">
        <is>
          <t>Week Total</t>
        </is>
      </c>
    </row>
    <row r="33" spans="1:23" ht="15.5" ns3:dyDescent="0.35">
      <c r="A33" s="19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f>SUM(B33:H33)</f>
      </c>
      <c r="N33" s="21"/>
      <c r="O33" s="19" t="s">
        <v>23</v>
      </c>
      <c r="P33" s="19"/>
      <c r="Q33" s="19"/>
      <c r="R33" s="30"/>
      <c r="S33" s="30"/>
      <c r="T33" s="30"/>
      <c r="U33" s="19"/>
      <c r="V33" s="19"/>
      <c r="W33" s="19">
        <f>SUM(P33:V33)</f>
      </c>
    </row>
    <row r="34" spans="1:23" ht="15.5" ns3:dyDescent="0.35">
      <c r="A34" s="19" t="s">
        <v>24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f>SUM(B34:H34)</f>
      </c>
      <c r="N34" s="21"/>
      <c r="O34" s="19" t="s">
        <v>25</v>
      </c>
      <c r="P34" s="19"/>
      <c r="Q34" s="19"/>
      <c r="R34" s="30"/>
      <c r="S34" s="30"/>
      <c r="T34" s="30"/>
      <c r="U34" s="19"/>
      <c r="V34" s="19"/>
      <c r="W34" s="19">
        <f>SUM(P34:V34)</f>
      </c>
    </row>
    <row r="35" spans="14:23" ht="15.5" ns3:dyDescent="0.35">
      <c r="N35" s="21"/>
      <c r="O35" s="19" t="s">
        <v>26</v>
      </c>
      <c r="P35" s="19"/>
      <c r="Q35" s="19"/>
      <c r="R35" s="19"/>
      <c r="S35" s="19"/>
      <c r="T35" s="19"/>
      <c r="U35" s="19"/>
      <c r="V35" s="19"/>
      <c r="W35" s="19">
        <f>SUM(P35:V35)</f>
      </c>
    </row>
    <row r="36" spans="14:14" ns3:dyDescent="0.25">
      <c r="N36" s="21"/>
    </row>
    <row r="37" spans="14:14" ns3:dyDescent="0.25">
      <c r="N37" s="21"/>
    </row>
    <row r="38" spans="14:14" ns3:dyDescent="0.25">
      <c r="N38" s="21"/>
    </row>
    <row r="39" spans="14:14" ns3:dyDescent="0.25">
      <c r="N39" s="21"/>
    </row>
    <row r="40" spans="14:14" ns3:dyDescent="0.25">
      <c r="N40" s="21"/>
    </row>
    <row r="41" spans="14:14" ns3:dyDescent="0.25">
      <c r="N41" s="21"/>
    </row>
    <row r="42" spans="14:14" ns3:dyDescent="0.25">
      <c r="N42" s="21"/>
    </row>
    <row r="43" spans="14:14" ns3:dyDescent="0.25">
      <c r="N43" s="21"/>
    </row>
    <row r="44" spans="14:14" ns3:dyDescent="0.25">
      <c r="N44" s="21"/>
    </row>
    <row r="45" spans="14:14" ns3:dyDescent="0.25">
      <c r="N45" s="21"/>
    </row>
    <row r="46" spans="14:14" ns3:dyDescent="0.25">
      <c r="N46" s="21"/>
    </row>
    <row r="47" spans="14:14" ns3:dyDescent="0.25">
      <c r="N47" s="21"/>
    </row>
    <row r="48" spans="14:14" ns3:dyDescent="0.25">
      <c r="N48" s="21"/>
    </row>
    <row r="49" spans="14:14" ns3:dyDescent="0.25">
      <c r="N49" s="21"/>
    </row>
    <row r="50" spans="14:14" ns3:dyDescent="0.25">
      <c r="N50" s="21"/>
    </row>
    <row r="51" spans="14:14" ns3:dyDescent="0.25">
      <c r="N51" s="21"/>
    </row>
    <row r="52" spans="14:14" ns3:dyDescent="0.25">
      <c r="N52" s="21"/>
    </row>
    <row r="53" spans="14:14" ns3:dyDescent="0.25">
      <c r="N53" s="21"/>
    </row>
  </sheetData>
  <phoneticPr fontId="16" type="noConversion"/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2791000-E506-42F5-9E0C-3C20AFC66042}">
  <dimension ref="A1:I41"/>
  <sheetViews>
    <sheetView tabSelected="1" zoomScale="70" zoomScaleNormal="70" workbookViewId="0">
      <selection activeCell="I11" sqref="I11"/>
    </sheetView>
  </sheetViews>
  <sheetFormatPr defaultRowHeight="12.5" ns3:dyDescent="0.25"/>
  <cols>
    <col min="1" max="1" width="13.453125" customWidth="1"/>
    <col min="2" max="2" width="13.1796875" customWidth="1"/>
    <col min="3" max="3" width="26.453125" customWidth="1"/>
    <col min="4" max="4" width="23.1796875" customWidth="1"/>
    <col min="5" max="5" width="13.54296875" customWidth="1"/>
    <col min="6" max="6" width="23" customWidth="1"/>
    <col min="7" max="7" width="24.1796875" customWidth="1"/>
    <col min="8" max="8" width="17.81640625" customWidth="1"/>
    <col min="9" max="9" width="11.1796875" customWidth="1"/>
  </cols>
  <sheetData>
    <row r="1" spans="1:9" ht="37.5" customHeight="1" ns3:dyDescent="0.25">
      <c r="A1" s="26" t="s">
        <v>27</v>
      </c>
      <c r="B1" s="26" t="s">
        <v>28</v>
      </c>
      <c r="C1" s="26" t="s">
        <v>29</v>
      </c>
      <c r="D1" s="26" t="s">
        <v>30</v>
      </c>
      <c r="E1" s="26" t="s">
        <v>31</v>
      </c>
      <c r="F1" s="26" t="s">
        <v>32</v>
      </c>
      <c r="G1" s="26" t="s">
        <v>30</v>
      </c>
      <c r="H1" s="26" t="s">
        <v>33</v>
      </c>
      <c r="I1" s="26" t="s">
        <v>34</v>
      </c>
    </row>
    <row r="2" spans="1:9" ht="83.5" customHeight="1" thickBot="1" ns3:dyDescent="0.3">
      <c r="A2" s="51" t="s">
        <v>95</v>
      </c>
      <c r="B2" s="52" t="s">
        <v>1</v>
      </c>
      <c r="C2" s="34" t="s">
        <v>1</v>
      </c>
      <c r="D2" s="35" t="s">
        <v>1</v>
      </c>
      <c r="E2" s="53" t="s">
        <v>1</v>
      </c>
      <c r="F2" s="54" t="s">
        <v>1</v>
      </c>
      <c r="G2" s="36"/>
      <c r="H2" s="37" t="s">
        <v>1</v>
      </c>
      <c r="I2" s="38" t="s">
        <v>100</v>
      </c>
    </row>
    <row r="3" spans="1:9" ht="79.5" customHeight="1" thickBot="1" ns3:dyDescent="0.3">
      <c r="A3" s="51" t="s">
        <v>96</v>
      </c>
      <c r="B3" s="52" t="s">
        <v>114</v>
      </c>
      <c r="C3" s="34" t="s">
        <v>1</v>
      </c>
      <c r="D3" s="40" t="s">
        <v>1</v>
      </c>
      <c r="E3" s="53" t="s">
        <v>1</v>
      </c>
      <c r="F3" s="34" t="s">
        <v>1</v>
      </c>
      <c r="G3" s="41"/>
      <c r="H3" s="37" t="s">
        <v>1</v>
      </c>
      <c r="I3" s="55" t="s">
        <v>100</v>
      </c>
    </row>
    <row r="4" spans="1:9" ht="109" customHeight="1" thickBot="1" ns3:dyDescent="0.3">
      <c r="A4" s="51" t="s">
        <v>97</v>
      </c>
      <c r="B4" s="52" t="s">
        <v>1</v>
      </c>
      <c r="C4" s="34" t="s">
        <v>1</v>
      </c>
      <c r="D4" s="40" t="s">
        <v>1</v>
      </c>
      <c r="E4" s="53" t="s">
        <v>1</v>
      </c>
      <c r="F4" s="34" t="s">
        <v>1</v>
      </c>
      <c r="G4" s="41" t="s">
        <v>114</v>
      </c>
      <c r="H4" s="37" t="s">
        <v>1</v>
      </c>
      <c r="I4" s="55" t="s">
        <v>101</v>
      </c>
    </row>
    <row r="5" spans="1:9" ht="79.5" customHeight="1" thickBot="1" ns3:dyDescent="0.3">
      <c r="A5" s="51" t="s">
        <v>98</v>
      </c>
      <c r="B5" s="52"/>
      <c r="C5" s="34"/>
      <c r="D5" s="40"/>
      <c r="E5" s="53"/>
      <c r="F5" s="34"/>
      <c r="G5" s="41"/>
      <c r="H5" s="37"/>
      <c r="I5" s="55"/>
    </row>
    <row r="6" spans="1:9" ht="111.65" customHeight="1" thickBot="1" ns3:dyDescent="0.3">
      <c r="A6" s="51" t="s">
        <v>99</v>
      </c>
      <c r="B6" s="52"/>
      <c r="C6" s="34"/>
      <c r="D6" s="40"/>
      <c r="E6" s="53"/>
      <c r="F6" s="34"/>
      <c r="G6" s="56"/>
      <c r="H6" s="37"/>
      <c r="I6" s="55"/>
    </row>
    <row r="7" spans="1:9" ht="99" customHeight="1" thickBot="1" ns3:dyDescent="0.3">
      <c r="A7" s="51" t="s">
        <v>102</v>
      </c>
      <c r="B7" s="52"/>
      <c r="C7" s="34"/>
      <c r="D7" s="40"/>
      <c r="E7" s="53"/>
      <c r="F7" s="34"/>
      <c r="G7" s="41"/>
      <c r="H7" s="37"/>
      <c r="I7" s="55"/>
    </row>
    <row r="8" spans="1:9" ht="132" customHeight="1" thickBot="1" ns3:dyDescent="0.3">
      <c r="A8" s="51" t="s">
        <v>103</v>
      </c>
      <c r="B8" s="52"/>
      <c r="C8" s="34"/>
      <c r="D8" s="40"/>
      <c r="E8" s="53"/>
      <c r="F8" s="34"/>
      <c r="G8" s="41"/>
      <c r="H8" s="37"/>
      <c r="I8" s="55"/>
    </row>
    <row r="9" spans="1:9" ht="138" customHeight="1" thickBot="1" ns3:dyDescent="0.3">
      <c r="A9" s="51" t="s">
        <v>104</v>
      </c>
      <c r="B9" s="52"/>
      <c r="C9" s="34"/>
      <c r="D9" s="40"/>
      <c r="E9" s="57"/>
      <c r="F9" s="34"/>
      <c r="G9" s="41"/>
      <c r="H9" s="37"/>
      <c r="I9" s="55"/>
    </row>
    <row r="10" spans="1:9" ht="96.65" customHeight="1" thickBot="1" ns3:dyDescent="0.3">
      <c r="A10" s="51" t="s">
        <v>105</v>
      </c>
      <c r="B10" s="52"/>
      <c r="C10" s="34"/>
      <c r="D10" s="40"/>
      <c r="E10" s="57"/>
      <c r="F10" s="34"/>
      <c r="G10" s="41"/>
      <c r="H10" s="37"/>
      <c r="I10" s="55"/>
    </row>
    <row r="11" spans="1:9" ht="143.5" customHeight="1" thickBot="1" ns3:dyDescent="0.3">
      <c r="A11" s="51" t="s">
        <v>106</v>
      </c>
      <c r="B11" s="52"/>
      <c r="C11" s="42"/>
      <c r="D11" s="40"/>
      <c r="E11" s="57"/>
      <c r="F11" s="34"/>
      <c r="G11" s="35"/>
      <c r="H11" s="37"/>
      <c r="I11" s="38"/>
    </row>
    <row r="12" spans="1:9" ht="143.5" customHeight="1" thickBot="1" ns3:dyDescent="0.3">
      <c r="A12" s="51" t="s">
        <v>107</v>
      </c>
      <c r="B12" s="52"/>
      <c r="C12" s="43"/>
      <c r="D12" s="35"/>
      <c r="E12" s="57"/>
      <c r="F12" s="43"/>
      <c r="G12" s="58"/>
      <c r="H12" s="37"/>
      <c r="I12" s="38"/>
    </row>
    <row r="13" spans="1:9" ht="12.75" hidden="1" customHeight="1" ns3:dyDescent="0.25">
      <c r="A13" s="51" t="s">
        <v>108</v>
      </c>
      <c r="B13" s="52"/>
      <c r="C13" s="43"/>
      <c r="D13" s="35"/>
      <c r="E13" s="57"/>
      <c r="F13" s="43"/>
      <c r="G13" s="35"/>
      <c r="H13" s="37"/>
      <c r="I13" s="38"/>
    </row>
    <row r="14" spans="1:9" ht="102" customHeight="1" thickBot="1" ns3:dyDescent="0.3">
      <c r="A14" s="51" t="s">
        <v>109</v>
      </c>
      <c r="B14" s="52"/>
      <c r="C14" s="43"/>
      <c r="D14" s="35"/>
      <c r="E14" s="57"/>
      <c r="F14" s="43"/>
      <c r="G14" s="35"/>
      <c r="H14" s="37"/>
      <c r="I14" s="38"/>
    </row>
    <row r="15" spans="1:9" ht="143.5" customHeight="1" thickBot="1" ns3:dyDescent="0.3">
      <c r="A15" s="51" t="s">
        <v>110</v>
      </c>
      <c r="B15" s="52"/>
      <c r="C15" s="43"/>
      <c r="D15" s="35"/>
      <c r="E15" s="57"/>
      <c r="F15" s="43"/>
      <c r="G15" s="35"/>
      <c r="H15" s="37"/>
      <c r="I15" s="38"/>
    </row>
    <row r="16" spans="1:9" ht="143.5" customHeight="1" thickBot="1" ns3:dyDescent="0.3">
      <c r="A16" s="51" t="s">
        <v>111</v>
      </c>
      <c r="B16" s="52"/>
      <c r="C16" s="43"/>
      <c r="D16" s="35"/>
      <c r="E16" s="57"/>
      <c r="F16" s="43"/>
      <c r="G16" s="35"/>
      <c r="H16" s="37"/>
      <c r="I16" s="38"/>
    </row>
    <row r="17" spans="1:9" ht="95.4" customHeight="1" thickBot="1" ns3:dyDescent="0.3">
      <c r="A17" s="51" t="s">
        <v>112</v>
      </c>
      <c r="B17" s="52"/>
      <c r="C17" s="43"/>
      <c r="D17" s="35"/>
      <c r="E17" s="57"/>
      <c r="F17" s="43"/>
      <c r="G17" s="35"/>
      <c r="H17" s="37"/>
      <c r="I17" s="38"/>
    </row>
    <row r="18" spans="1:9" ht="89.4" customHeight="1" thickBot="1" ns3:dyDescent="0.3">
      <c r="A18" s="51"/>
      <c r="B18" s="52"/>
      <c r="C18" s="44"/>
      <c r="D18" s="40"/>
      <c r="E18" s="57"/>
      <c r="F18" s="44"/>
      <c r="G18" s="35"/>
      <c r="H18" s="37"/>
      <c r="I18" s="38"/>
    </row>
    <row r="19" spans="1:9" ht="61.25" customHeight="1" ns3:dyDescent="0.25">
      <c r="A19" s="85"/>
      <c r="B19" s="86"/>
      <c r="C19" s="86"/>
      <c r="D19" s="86"/>
      <c r="E19" s="86"/>
      <c r="F19" s="86"/>
      <c r="G19" s="86"/>
      <c r="H19" s="86"/>
      <c r="I19" s="87"/>
    </row>
    <row r="20" spans="1:9" ht="143.5" customHeight="1" thickBot="1" ns3:dyDescent="0.3">
      <c r="A20" s="39"/>
      <c r="B20" s="59"/>
      <c r="C20" s="44"/>
      <c r="D20" s="40"/>
      <c r="E20" s="57"/>
      <c r="F20" s="44"/>
      <c r="G20" s="35"/>
      <c r="H20" s="37"/>
      <c r="I20" s="60"/>
    </row>
    <row r="21" spans="1:9" ht="121.75" customHeight="1" thickBot="1" ns3:dyDescent="0.3">
      <c r="A21" s="39"/>
      <c r="B21" s="59"/>
      <c r="C21" s="61"/>
      <c r="D21" s="40"/>
      <c r="E21" s="62"/>
      <c r="F21" s="44"/>
      <c r="G21" s="35"/>
      <c r="H21" s="37"/>
      <c r="I21" s="60"/>
    </row>
    <row r="22" spans="1:9" ht="100.75" customHeight="1" thickBot="1" ns3:dyDescent="0.3">
      <c r="A22" s="39"/>
      <c r="B22" s="59"/>
      <c r="C22" s="44"/>
      <c r="D22" s="40"/>
      <c r="E22" s="57"/>
      <c r="F22" s="44"/>
      <c r="G22" s="35"/>
      <c r="H22" s="37"/>
      <c r="I22" s="60"/>
    </row>
    <row r="23" spans="1:9" s="45" customFormat="1" ht="143.5" customHeight="1" thickBot="1" ns3:dyDescent="0.3">
      <c r="A23" s="39"/>
      <c r="B23" s="59"/>
      <c r="C23" s="44"/>
      <c r="D23" s="40"/>
      <c r="E23" s="57"/>
      <c r="F23" s="44"/>
      <c r="G23" s="35"/>
      <c r="H23" s="37"/>
      <c r="I23" s="60"/>
    </row>
    <row r="24" spans="1:9" s="46" customFormat="1" ht="143.5" customHeight="1" thickBot="1" ns3:dyDescent="0.3">
      <c r="A24" s="39"/>
      <c r="B24" s="59"/>
      <c r="C24" s="43"/>
      <c r="D24"/>
      <c r="E24" s="57"/>
      <c r="F24" s="43"/>
      <c r="G24"/>
      <c r="H24"/>
      <c r="I24" s="60"/>
    </row>
    <row r="25" spans="1:9" s="46" customFormat="1" ht="143.5" customHeight="1" thickBot="1" ns3:dyDescent="0.3">
      <c r="A25" s="39"/>
      <c r="B25" s="59"/>
      <c r="C25" s="44"/>
      <c r="D25" s="40"/>
      <c r="E25" s="57"/>
      <c r="F25" s="44"/>
      <c r="G25" s="35"/>
      <c r="H25" s="37"/>
      <c r="I25" s="60"/>
    </row>
    <row r="26" spans="1:9" s="46" customFormat="1" ht="143.5" customHeight="1" thickBot="1" ns3:dyDescent="0.3">
      <c r="A26" s="39"/>
      <c r="B26" s="59"/>
      <c r="C26" s="44"/>
      <c r="D26" s="40"/>
      <c r="E26" s="57"/>
      <c r="F26" s="44"/>
      <c r="G26" s="35"/>
      <c r="H26" s="37"/>
      <c r="I26" s="60"/>
    </row>
    <row r="27" spans="1:9" s="46" customFormat="1" ht="143.5" customHeight="1" thickBot="1" ns3:dyDescent="0.3">
      <c r="A27" s="39"/>
      <c r="B27" s="59"/>
      <c r="C27" s="44"/>
      <c r="D27" s="40"/>
      <c r="E27" s="57"/>
      <c r="F27" s="44"/>
      <c r="G27" s="35"/>
      <c r="H27" s="37"/>
      <c r="I27" s="60"/>
    </row>
    <row r="28" spans="1:9" ht="102.65" customHeight="1" thickBot="1" ns3:dyDescent="0.3">
      <c r="A28" s="39"/>
      <c r="B28" s="59"/>
      <c r="C28" s="44"/>
      <c r="D28" s="40"/>
      <c r="E28" s="57"/>
      <c r="F28" s="44"/>
      <c r="G28" s="35"/>
      <c r="H28" s="37"/>
      <c r="I28" s="60"/>
    </row>
    <row r="29" spans="1:9" ht="91.75" customHeight="1" thickBot="1" ns3:dyDescent="0.3">
      <c r="A29" s="39"/>
      <c r="B29" s="59"/>
      <c r="C29" s="44"/>
      <c r="D29" s="40"/>
      <c r="E29" s="57"/>
      <c r="F29" s="44"/>
      <c r="G29" s="35"/>
      <c r="H29" s="37"/>
      <c r="I29" s="60"/>
    </row>
    <row r="30" spans="1:9" ht="118.75" customHeight="1" thickBot="1" ns3:dyDescent="0.3">
      <c r="A30" s="39"/>
      <c r="B30" s="59"/>
      <c r="C30" s="44"/>
      <c r="D30" s="40"/>
      <c r="E30" s="57"/>
      <c r="F30" s="44"/>
      <c r="G30" s="35"/>
      <c r="H30" s="37"/>
      <c r="I30" s="60"/>
    </row>
    <row r="31" spans="1:9" ht="96" customHeight="1" thickBot="1" ns3:dyDescent="0.3">
      <c r="A31" s="39"/>
      <c r="B31" s="59"/>
      <c r="C31" s="34"/>
      <c r="D31" s="40"/>
      <c r="E31" s="57"/>
      <c r="F31" s="44"/>
      <c r="G31" s="35"/>
      <c r="H31" s="37"/>
      <c r="I31" s="38"/>
    </row>
    <row r="32" spans="1:9" ht="102" customHeight="1" thickBot="1" ns3:dyDescent="0.3">
      <c r="A32" s="63"/>
      <c r="B32" s="59"/>
      <c r="C32" s="44"/>
      <c r="D32" s="40"/>
      <c r="E32" s="57"/>
      <c r="F32" s="44"/>
      <c r="G32" s="35"/>
      <c r="H32" s="37"/>
      <c r="I32" s="38"/>
    </row>
    <row r="33" spans="1:9" ht="110.4" customHeight="1" thickBot="1" ns3:dyDescent="0.3">
      <c r="A33" s="63"/>
      <c r="B33" s="59"/>
      <c r="C33" s="44"/>
      <c r="D33" s="44"/>
      <c r="E33" s="57"/>
      <c r="F33" s="44"/>
      <c r="G33" s="35"/>
      <c r="H33" s="37"/>
      <c r="I33" s="38"/>
    </row>
    <row r="34" spans="1:9" ht="93" customHeight="1" thickBot="1" ns3:dyDescent="0.3">
      <c r="A34" s="63"/>
      <c r="B34" s="59"/>
      <c r="C34" s="44"/>
      <c r="D34" s="44"/>
      <c r="E34" s="57"/>
      <c r="F34" s="44"/>
      <c r="G34" s="35"/>
      <c r="H34" s="37"/>
      <c r="I34" s="38"/>
    </row>
    <row r="35" spans="1:9" ht="93" customHeight="1" thickBot="1" ns3:dyDescent="0.3">
      <c r="A35" s="63"/>
      <c r="B35" s="59"/>
      <c r="C35" s="44"/>
      <c r="D35" s="44"/>
      <c r="E35" s="57"/>
      <c r="F35" s="44"/>
      <c r="G35" s="35"/>
      <c r="H35" s="37"/>
      <c r="I35" s="38"/>
    </row>
    <row r="36" spans="1:9" ht="93" customHeight="1" thickBot="1" ns3:dyDescent="0.3">
      <c r="A36" s="63"/>
      <c r="B36" s="59"/>
      <c r="C36" s="44"/>
      <c r="D36" s="44"/>
      <c r="E36" s="57"/>
      <c r="F36" s="44"/>
      <c r="G36" s="35"/>
      <c r="H36" s="37"/>
      <c r="I36" s="38"/>
    </row>
    <row r="37" spans="1:9" ht="93" customHeight="1" thickBot="1" ns3:dyDescent="0.3">
      <c r="A37" s="63"/>
      <c r="B37" s="59"/>
      <c r="C37" s="44"/>
      <c r="D37" s="44"/>
      <c r="E37" s="57"/>
      <c r="F37" s="44"/>
      <c r="G37" s="35"/>
      <c r="H37" s="37"/>
      <c r="I37" s="38"/>
    </row>
    <row r="38" spans="1:9" ht="93" customHeight="1" thickBot="1" ns3:dyDescent="0.3">
      <c r="A38" s="63"/>
      <c r="B38" s="59"/>
      <c r="C38" s="44"/>
      <c r="D38" s="44"/>
      <c r="E38" s="57"/>
      <c r="F38" s="44"/>
      <c r="G38" s="35"/>
      <c r="H38" s="37"/>
      <c r="I38" s="38"/>
    </row>
    <row r="39" spans="1:9" ht="93" customHeight="1" thickBot="1" ns3:dyDescent="0.3">
      <c r="A39" s="63"/>
      <c r="B39" s="59"/>
      <c r="C39" s="44"/>
      <c r="D39" s="44"/>
      <c r="E39" s="57"/>
      <c r="F39" s="44"/>
      <c r="G39" s="35"/>
      <c r="H39" s="37"/>
      <c r="I39" s="38"/>
    </row>
    <row r="40" spans="1:9" ht="93" customHeight="1" thickBot="1" ns3:dyDescent="0.3">
      <c r="A40" s="63"/>
      <c r="B40" s="59"/>
      <c r="C40" s="44"/>
      <c r="D40" s="44"/>
      <c r="E40" s="57"/>
      <c r="F40" s="44"/>
      <c r="G40" s="35"/>
      <c r="H40" s="37"/>
      <c r="I40" s="38"/>
    </row>
    <row r="41" spans="1:9" ht="93" customHeight="1" thickBot="1" ns3:dyDescent="0.3">
      <c r="A41" s="63"/>
      <c r="B41" s="59"/>
      <c r="C41" s="44"/>
      <c r="D41" s="44"/>
      <c r="E41" s="57"/>
      <c r="F41" s="44"/>
      <c r="G41" s="35"/>
      <c r="H41" s="37"/>
      <c r="I41" s="38"/>
    </row>
  </sheetData>
  <mergeCells count="1">
    <mergeCell ref="A19:I19"/>
  </mergeCells>
  <phoneticPr fontId="16" type="noConversion"/>
  <conditionalFormatting sqref="I2:I18">
    <cfRule type="cellIs" dxfId="7" priority="5" operator="equal">
      <formula>"Holding"</formula>
    </cfRule>
    <cfRule type="cellIs" dxfId="6" priority="6" operator="equal">
      <formula>"Completed"</formula>
    </cfRule>
  </conditionalFormatting>
  <conditionalFormatting sqref="I2:I41">
    <cfRule type="containsText" dxfId="5" priority="1" operator="containsText" text="opened">
      <formula>NOT(ISERROR(SEARCH("opened",I2)))</formula>
    </cfRule>
    <cfRule type="containsText" dxfId="4" priority="2" operator="containsText" text="closed">
      <formula>NOT(ISERROR(SEARCH("closed",I2)))</formula>
    </cfRule>
  </conditionalFormatting>
  <conditionalFormatting sqref="I20:I41">
    <cfRule type="cellIs" dxfId="3" priority="3" operator="equal">
      <formula>"Holding"</formula>
    </cfRule>
    <cfRule type="cellIs" dxfId="2" priority="4" operator="equal">
      <formula>"Completed"</formula>
    </cfRule>
  </conditionalFormatting>
  <conditionalFormatting sqref="I42:I97">
    <cfRule type="containsText" dxfId="1" priority="7" operator="containsText" text="open">
      <formula>NOT(ISERROR(SEARCH("open",I42)))</formula>
    </cfRule>
    <cfRule type="containsText" dxfId="0" priority="8" operator="containsText" text="closed">
      <formula>NOT(ISERROR(SEARCH("closed",I42)))</formula>
    </cfRule>
  </conditionalFormatting>
  <dataValidations count="1">
    <dataValidation type="list" allowBlank="1" showInputMessage="1" showErrorMessage="1" errorTitle="Geçersiz Değer" error="Lütfen listeden seçin: open veya closed" sqref="I2:I97" ns2:uid="{766463DC-64DA-4446-A05E-4404C3E1C46C}">
      <formula1>"open,closed"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dimension ref="A1:S32"/>
  <sheetViews>
    <sheetView view="pageBreakPreview" topLeftCell="A10" zoomScale="74" zoomScaleNormal="85" zoomScaleSheetLayoutView="74" zoomScalePageLayoutView="85" workbookViewId="0">
      <selection activeCell="R13" sqref="R13"/>
    </sheetView>
  </sheetViews>
  <sheetFormatPr defaultColWidth="11.453125" defaultRowHeight="12.5" ns3:dyDescent="0.25"/>
  <cols>
    <col min="1" max="2" width="12" customWidth="1"/>
    <col min="3" max="4" width="7" bestFit="1" customWidth="1"/>
    <col min="5" max="6" width="5.81640625" customWidth="1"/>
    <col min="7" max="7" width="8.1796875" bestFit="1" customWidth="1"/>
    <col min="8" max="8" width="8.81640625" customWidth="1"/>
    <col min="9" max="16" width="5.81640625" customWidth="1"/>
    <col min="17" max="19" width="12" customWidth="1"/>
    <col min="24" max="24" width="12.81640625" customWidth="1"/>
    <col min="3" max="9" width="9.0" customWidth="1"/>
    <col min="10" max="11" width="11.0" customWidth="1"/>
  </cols>
  <sheetData>
    <row r="1" ht="15.75" customHeight="1" ns3:dyDescent="0.25"/>
    <row r="2" spans="7:11" ht="17.25" customHeight="1" ns3:dyDescent="0.35">
      <c r="G2" s="9" t="s">
        <v>35</v>
      </c>
      <c r="H2" s="9" t="s">
        <v>36</v>
      </c>
      <c r="K2" s="2"/>
    </row>
    <row r="3" spans="1:11" ht="17.25" customHeight="1" ns3:dyDescent="0.4">
      <c r="A3" s="1"/>
      <c r="B3" s="82" t="s">
        <v>37</v>
      </c>
      <c r="C3" s="82"/>
      <c r="D3" s="82"/>
      <c r="E3" s="82"/>
      <c r="F3" s="82"/>
      <c r="G3" s="11"/>
      <c r="H3" s="8">
        <v>0</v>
      </c>
      <c r="K3" s="2"/>
    </row>
    <row r="4" spans="1:11" ht="17.25" customHeight="1" ns3:dyDescent="0.4">
      <c r="A4" s="1"/>
      <c r="B4" s="82" t="s">
        <v>38</v>
      </c>
      <c r="C4" s="82"/>
      <c r="D4" s="82"/>
      <c r="E4" s="82"/>
      <c r="F4" s="82"/>
      <c r="G4" s="15"/>
      <c r="H4" s="8">
        <v>0</v>
      </c>
      <c r="K4" s="2"/>
    </row>
    <row r="5" spans="2:11" ht="17.25" customHeight="1" ns3:dyDescent="0.35">
      <c r="B5" s="82" t="s">
        <v>39</v>
      </c>
      <c r="C5" s="82"/>
      <c r="D5" s="82"/>
      <c r="E5" s="82"/>
      <c r="F5" s="82"/>
      <c r="G5" s="83">
        <v>0</v>
      </c>
      <c r="H5" s="83"/>
      <c r="K5" s="2"/>
    </row>
    <row r="6" spans="2:8" ht="14" ns3:dyDescent="0.25">
      <c r="B6" s="82" t="s">
        <v>40</v>
      </c>
      <c r="C6" s="82"/>
      <c r="D6" s="82"/>
      <c r="E6" s="82"/>
      <c r="F6" s="82"/>
      <c r="G6" s="83">
        <v>0</v>
      </c>
      <c r="H6" s="83"/>
    </row>
    <row r="7" spans="2:7">
      <c r="B7" s="1" t="inlineStr">
        <is>
          <t>Week No. (1-52)</t>
        </is>
      </c>
      <c r="G7" s="83">
        <v>1</v>
      </c>
    </row>
    <row r="8" spans="1:15" ht="18" customHeight="1" ns3:dyDescent="0.25">
      <c r="A8" s="16"/>
      <c r="B8" s="1" t="inlineStr">
        <is>
          <t>Week Start (Monday)</t>
        </is>
      </c>
      <c r="C8" s="16"/>
      <c r="D8" s="16"/>
      <c r="E8" s="16"/>
      <c r="F8" s="16"/>
      <c r="G8" s="83">
        <f>DATE(2026,6,1)+(G7-1)*7</f>
      </c>
      <c r="H8" s="16"/>
      <c r="I8" s="16"/>
      <c r="J8" s="16"/>
      <c r="K8" s="16"/>
      <c r="L8" s="16"/>
      <c r="M8" s="16"/>
      <c r="N8" s="16"/>
      <c r="O8" s="16"/>
    </row>
    <row r="9" spans="1:19" ht="9" customHeight="1" ns3:dyDescent="0.25">
      <c r="A9" s="12"/>
      <c r="B9" s="1" t="inlineStr">
        <is>
          <t>Week End (Sunday)</t>
        </is>
      </c>
      <c r="C9" s="12"/>
      <c r="D9" s="12"/>
      <c r="E9" s="12"/>
      <c r="F9" s="12"/>
      <c r="G9" s="83">
        <f>G8+6</f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1" ht="18" customHeight="1" thickBot="1" ns3:dyDescent="0.3">
      <c r="A10" s="69" t="s">
        <v>41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</row>
    <row r="11" spans="1:10" ht="13" thickBot="1" ns3:dyDescent="0.3">
      <c r="A11" s="3"/>
      <c r="B11" s="3"/>
      <c r="C11" s="3" t="inlineStr">
        <is>
          <t>Mon</t>
        </is>
      </c>
      <c r="D11" s="3" t="inlineStr">
        <is>
          <t>Tue</t>
        </is>
      </c>
      <c r="E11" s="3" t="inlineStr">
        <is>
          <t>Wed</t>
        </is>
      </c>
      <c r="F11" s="3" t="inlineStr">
        <is>
          <t>Thu</t>
        </is>
      </c>
      <c r="G11" s="3" t="inlineStr">
        <is>
          <t>Fri</t>
        </is>
      </c>
      <c r="H11" s="3" t="inlineStr">
        <is>
          <t>Sat</t>
        </is>
      </c>
      <c r="I11" s="3" t="inlineStr">
        <is>
          <t>Sun</t>
        </is>
      </c>
      <c r="J11" s="3" t="inlineStr">
        <is>
          <t>Week Total</t>
        </is>
      </c>
    </row>
    <row r="12" spans="1:10" ht="17.25" customHeight="1" ns3:dyDescent="0.3">
      <c r="A12" s="4" t="s">
        <v>55</v>
      </c>
      <c r="B12" s="4"/>
      <c r="C12" s="25">
        <v>208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f>SUM(C12:I12)</f>
      </c>
    </row>
    <row r="13" spans="1:10" ht="42" customHeight="1" ns3:dyDescent="0.3">
      <c r="A13" s="77" t="s">
        <v>56</v>
      </c>
      <c r="B13" s="77"/>
      <c r="C13" s="13">
        <v>2296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f>SUM(C13:I13)</f>
      </c>
    </row>
    <row r="14" spans="1:10" ht="15.75" customHeight="1" ns3:dyDescent="0.3">
      <c r="A14" s="79" t="s">
        <v>58</v>
      </c>
      <c r="B14" s="79"/>
      <c r="C14" s="14">
        <f>SUM(C12,C13)</f>
      </c>
      <c r="D14" s="14">
        <f>SUM(D12,D13)</f>
      </c>
      <c r="E14" s="14">
        <f>SUM(E12,E13)</f>
      </c>
      <c r="F14" s="14">
        <f>SUM(F12,F13)</f>
      </c>
      <c r="G14" s="14">
        <f>SUM(G12,G13)</f>
      </c>
      <c r="H14" s="14">
        <f>SUM(H12,H13)</f>
      </c>
      <c r="I14" s="14">
        <f>SUM(I12,I13)</f>
      </c>
      <c r="J14" s="14">
        <f>SUM(J12,J13)</f>
      </c>
    </row>
    <row r="15" spans="1:11" ht="24.75" customHeight="1" ns3:dyDescent="0.3">
      <c r="A15" s="75"/>
      <c r="B15" s="75"/>
      <c r="C15" s="6"/>
      <c r="D15" s="6"/>
      <c r="E15" s="6"/>
      <c r="F15" s="6"/>
      <c r="G15" s="6"/>
      <c r="H15" s="6"/>
      <c r="I15" s="6"/>
      <c r="J15" s="6"/>
      <c r="K15" s="6"/>
    </row>
    <row r="16" spans="1:11" ht="8.25" customHeight="1" ns3:dyDescent="0.3">
      <c r="A16" s="17"/>
      <c r="B16" s="17"/>
      <c r="C16" s="6"/>
      <c r="D16" s="6"/>
      <c r="E16" s="6"/>
      <c r="F16" s="6"/>
      <c r="G16" s="6"/>
      <c r="H16" s="6"/>
      <c r="I16" s="6"/>
      <c r="J16" s="6"/>
      <c r="K16" s="6"/>
    </row>
    <row r="17" spans="1:11" ht="18" customHeight="1" thickBot="1" ns3:dyDescent="0.3">
      <c r="A17" s="69" t="s">
        <v>59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</row>
    <row r="18" spans="1:10" ht="13.5" customHeight="1" thickBot="1" ns3:dyDescent="0.3">
      <c r="A18" s="3"/>
      <c r="B18" s="3"/>
      <c r="C18" s="3" t="inlineStr">
        <is>
          <t>Mon</t>
        </is>
      </c>
      <c r="D18" s="3" t="inlineStr">
        <is>
          <t>Tue</t>
        </is>
      </c>
      <c r="E18" s="3" t="inlineStr">
        <is>
          <t>Wed</t>
        </is>
      </c>
      <c r="F18" s="3" t="inlineStr">
        <is>
          <t>Thu</t>
        </is>
      </c>
      <c r="G18" s="3" t="inlineStr">
        <is>
          <t>Fri</t>
        </is>
      </c>
      <c r="H18" s="3" t="inlineStr">
        <is>
          <t>Sat</t>
        </is>
      </c>
      <c r="I18" s="3" t="inlineStr">
        <is>
          <t>Sun</t>
        </is>
      </c>
      <c r="J18" s="3" t="inlineStr">
        <is>
          <t>Week Total</t>
        </is>
      </c>
    </row>
    <row r="19" spans="1:10" ht="13.5" customHeight="1" thickBot="1" ns3:dyDescent="0.3">
      <c r="A19" s="64" t="s">
        <v>11</v>
      </c>
      <c r="B19" s="64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f>SUM(C19:I19)</f>
      </c>
    </row>
    <row r="20" spans="1:10" ht="13.5" customHeight="1" thickBot="1" ns3:dyDescent="0.3">
      <c r="A20" s="64" t="s">
        <v>12</v>
      </c>
      <c r="B20" s="64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f>SUM(C20:I20)</f>
      </c>
    </row>
    <row r="21" spans="1:10" ht="13.5" customHeight="1" thickBot="1" ns3:dyDescent="0.3">
      <c r="A21" s="64" t="s">
        <v>14</v>
      </c>
      <c r="B21" s="64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f>SUM(C21:I21)</f>
      </c>
    </row>
    <row r="22" spans="1:10" ht="13.5" customHeight="1" thickBot="1" ns3:dyDescent="0.3">
      <c r="A22" s="64" t="s">
        <v>15</v>
      </c>
      <c r="B22" s="64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f>SUM(C22:I22)</f>
      </c>
    </row>
    <row r="23" spans="1:10" ht="13.5" customHeight="1" thickBot="1" ns3:dyDescent="0.3">
      <c r="A23" s="64" t="s">
        <v>16</v>
      </c>
      <c r="B23" s="64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f>SUM(C23:I23)</f>
      </c>
    </row>
    <row r="24" spans="1:10" ht="13.5" customHeight="1" thickBot="1" ns3:dyDescent="0.3">
      <c r="A24" s="64" t="s">
        <v>17</v>
      </c>
      <c r="B24" s="64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f>SUM(C24:I24)</f>
      </c>
    </row>
    <row r="25" spans="1:10" ht="13.5" customHeight="1" thickBot="1" ns3:dyDescent="0.3">
      <c r="A25" s="64" t="s">
        <v>18</v>
      </c>
      <c r="B25" s="64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f>SUM(C25:I25)</f>
      </c>
    </row>
    <row r="26" spans="1:10" ht="13.5" customHeight="1" thickBot="1" ns3:dyDescent="0.3">
      <c r="A26" s="64" t="s">
        <v>19</v>
      </c>
      <c r="B26" s="64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f>SUM(C26:I26)</f>
      </c>
    </row>
    <row r="27" spans="1:11" ht="9.75" customHeight="1" ns3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</row>
    <row r="28" spans="1:11" ht="18" customHeight="1" thickBot="1" ns3:dyDescent="0.3">
      <c r="A28" s="69" t="s">
        <v>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</row>
    <row r="29" spans="1:10" ht="13.5" customHeight="1" thickBot="1" ns3:dyDescent="0.3">
      <c r="A29" s="3"/>
      <c r="B29" s="3"/>
      <c r="C29" s="3" t="inlineStr">
        <is>
          <t>Mon</t>
        </is>
      </c>
      <c r="D29" s="3" t="inlineStr">
        <is>
          <t>Tue</t>
        </is>
      </c>
      <c r="E29" s="3" t="inlineStr">
        <is>
          <t>Wed</t>
        </is>
      </c>
      <c r="F29" s="3" t="inlineStr">
        <is>
          <t>Thu</t>
        </is>
      </c>
      <c r="G29" s="3" t="inlineStr">
        <is>
          <t>Fri</t>
        </is>
      </c>
      <c r="H29" s="3" t="inlineStr">
        <is>
          <t>Sat</t>
        </is>
      </c>
      <c r="I29" s="3" t="inlineStr">
        <is>
          <t>Sun</t>
        </is>
      </c>
      <c r="J29" s="3" t="inlineStr">
        <is>
          <t>Week Total</t>
        </is>
      </c>
    </row>
    <row r="30" spans="1:10" ht="13.5" customHeight="1" ns3:dyDescent="0.25">
      <c r="A30" s="71" t="s">
        <v>69</v>
      </c>
      <c r="B30" s="71"/>
      <c r="C30" s="10">
        <f>IF(SUM($C14:C14)&lt;&gt;0,(SUM($C19:C20))*200000/(SUM($C14:C14)),0)</f>
      </c>
      <c r="D30" s="10">
        <f>IF(SUM($C14:D14)&lt;&gt;0,(SUM($C19:D20))*200000/(SUM($C14:D14)),0)</f>
      </c>
      <c r="E30" s="10">
        <f>IF(SUM($C14:E14)&lt;&gt;0,(SUM($C19:E20))*200000/(SUM($C14:E14)),0)</f>
      </c>
      <c r="F30" s="10">
        <f>IF(SUM($C14:F14)&lt;&gt;0,(SUM($C19:F20))*200000/(SUM($C14:F14)),0)</f>
      </c>
      <c r="G30" s="10">
        <f>IF(SUM($C14:G14)&lt;&gt;0,(SUM($C19:G20))*200000/(SUM($C14:G14)),0)</f>
      </c>
      <c r="H30" s="10">
        <f>IF(SUM($C14:H14)&lt;&gt;0,(SUM($C19:H20))*200000/(SUM($C14:H14)),0)</f>
      </c>
      <c r="I30" s="10">
        <f>IF(SUM($C14:I14)&lt;&gt;0,(SUM($C19:I20))*200000/(SUM($C14:I14)),0)</f>
      </c>
      <c r="J30" s="10">
        <f>IF(J14&lt;&gt;0,(J19+J20)*200000/J14,0)</f>
      </c>
    </row>
    <row r="31" spans="1:10" ht="13.5" customHeight="1" ns3:dyDescent="0.25">
      <c r="A31" s="73" t="s">
        <v>70</v>
      </c>
      <c r="B31" s="73"/>
      <c r="C31" s="10">
        <f>IF((SUM($C14:C14))&lt;&gt;0,((SUM($C20:C22))*200000)/(SUM($C14:C14)),0)</f>
      </c>
      <c r="D31" s="10">
        <f>IF((SUM($C14:D14))&lt;&gt;0,((SUM($C20:D22))*200000)/(SUM($C14:D14)),0)</f>
      </c>
      <c r="E31" s="10">
        <f>IF((SUM($C14:E14))&lt;&gt;0,((SUM($C20:E22))*200000)/(SUM($C14:E14)),0)</f>
      </c>
      <c r="F31" s="10">
        <f>IF((SUM($C14:F14))&lt;&gt;0,((SUM($C20:F22))*200000)/(SUM($C14:F14)),0)</f>
      </c>
      <c r="G31" s="10">
        <f>IF((SUM($C14:G14))&lt;&gt;0,((SUM($C20:G22))*200000)/(SUM($C14:G14)),0)</f>
      </c>
      <c r="H31" s="10">
        <f>IF((SUM($C14:H14))&lt;&gt;0,((SUM($C20:H22))*200000)/(SUM($C14:H14)),0)</f>
      </c>
      <c r="I31" s="10">
        <f>IF((SUM($C14:I14))&lt;&gt;0,((SUM($C20:I22))*200000)/(SUM($C14:I14)),0)</f>
      </c>
      <c r="J31" s="10">
        <f>IF(J14&lt;&gt;0,(SUM(J20:J22))*200000/J14,0)</f>
      </c>
    </row>
    <row r="32" spans="1:10" ht="13.5" customHeight="1" thickBot="1" ns3:dyDescent="0.3">
      <c r="A32" s="66" t="s">
        <v>71</v>
      </c>
      <c r="B32" s="66"/>
      <c r="C32" s="7">
        <f>IF(C14&lt;&gt;0,C26*1000/C14,0)</f>
      </c>
      <c r="D32" s="7">
        <f>IF(D14&lt;&gt;0,D26*1000/D14,0)</f>
      </c>
      <c r="E32" s="7">
        <f>IF(E14&lt;&gt;0,E26*1000/E14,0)</f>
      </c>
      <c r="F32" s="7">
        <f>IF(F14&lt;&gt;0,F26*1000/F14,0)</f>
      </c>
      <c r="G32" s="7">
        <f>IF(G14&lt;&gt;0,G26*1000/G14,0)</f>
      </c>
      <c r="H32" s="7">
        <f>IF(H14&lt;&gt;0,H26*1000/H14,0)</f>
      </c>
      <c r="I32" s="7">
        <f>IF(I14&lt;&gt;0,I26*1000/I14,0)</f>
      </c>
      <c r="J32" s="7">
        <f>IF(J14&lt;&gt;0,J26*1000/J14,0)</f>
      </c>
    </row>
    <row r="35" ht="18" customHeight="1" ns3:dyDescent="0.25"/>
    <row r="36" ht="17.25" customHeight="1" ns3:dyDescent="0.25"/>
    <row r="37" ht="17.25" customHeight="1" ns3:dyDescent="0.25"/>
    <row r="38" ht="17.25" customHeight="1" ns3:dyDescent="0.25"/>
  </sheetData>
  <mergeCells count="45">
    <mergeCell ref="B3:F3"/>
    <mergeCell ref="B4:F4"/>
    <mergeCell ref="B5:F5"/>
    <mergeCell ref="G5:H5"/>
    <mergeCell ref="B6:F6"/>
    <mergeCell ref="G6:H6"/>
    <mergeCell ref="A21:B21"/>
    <mergeCell ref="A15:B15"/>
    <mergeCell ref="A13:B13"/>
    <mergeCell ref="A14:B14"/>
    <mergeCell ref="A19:B19"/>
    <mergeCell ref="A20:B20"/>
    <mergeCell ref="A32:B32"/>
    <mergeCell ref="A30:B30"/>
    <mergeCell ref="A31:B31"/>
    <mergeCell ref="A25:B25"/>
    <mergeCell ref="A26:B26"/>
    <mergeCell ref="A22:B22"/>
    <mergeCell ref="A23:B23"/>
    <mergeCell ref="A24:B24"/>
    <mergeCell ref="J20:K20"/>
    <mergeCell ref="J21:K21"/>
    <mergeCell ref="A10:K10"/>
    <mergeCell ref="J11:K11"/>
    <mergeCell ref="J12:K12"/>
    <mergeCell ref="J13:K13"/>
    <mergeCell ref="J14:K14"/>
    <mergeCell ref="J15:K15"/>
    <mergeCell ref="A17:K17"/>
    <mergeCell ref="J18:K18"/>
    <mergeCell ref="J19:K19"/>
    <mergeCell ref="J32:K32"/>
    <mergeCell ref="A27:K27"/>
    <mergeCell ref="A28:K28"/>
    <mergeCell ref="J29:K29"/>
    <mergeCell ref="J30:K30"/>
    <mergeCell ref="J31:K31"/>
    <mergeCell ref="J25:K25"/>
    <mergeCell ref="J26:K26"/>
    <mergeCell ref="J22:K22"/>
    <mergeCell ref="J23:K23"/>
    <mergeCell ref="J24:K24"/>
    <mergeCell ref="B7:F7"/>
    <mergeCell ref="B8:F8"/>
    <mergeCell ref="B9:F9"/>
  </mergeCells>
  <phoneticPr fontId="16" type="noConversion"/>
  <pageMargins left="1.4173228346456694" right="0.23622047244094491" top="0.31496062992125984" bottom="0.74803149606299213" header="0.31496062992125984" footer="0.31496062992125984"/>
  <pageSetup paperSize="9" scale="74" fitToHeight="2" orientation="landscape" r:id="rId1"/>
  <headerFooter>
    <oddFooter xml:space="preserve">&amp;L&amp;9Siemens AS
PS WP TR EHS &amp;R&amp;9Reference: PSWP_TR_EHS_Monthly Report </oddFooter>
  </headerFooter>
  <rowBreaks count="1" manualBreakCount="1">
    <brk id="9" max="18" man="1"/>
  </rowBreaks>
  <drawing r:id="rId2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L10"/>
  <sheetViews>
    <sheetView zoomScale="70" zoomScaleNormal="70" workbookViewId="0">
      <selection activeCell="D6" sqref="D6"/>
    </sheetView>
  </sheetViews>
  <sheetFormatPr defaultRowHeight="12.5" ns3:dyDescent="0.25"/>
  <cols>
    <col min="1" max="1" width="23.1796875" bestFit="1" customWidth="1"/>
    <col min="2" max="3" width="8.81640625" customWidth="1"/>
    <col min="2" max="8" width="9.0" customWidth="1"/>
    <col min="9" max="9" width="12.0" customWidth="1"/>
    <col min="10" max="10" width="8.0" customWidth="1"/>
    <col min="12" max="12" width="42.0" customWidth="1"/>
  </cols>
  <sheetData>
    <row r="1" spans="1:12" ht="14" ns3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84"/>
      <c r="L1" s="27">
        <f>"Week "&amp;TEXT('EHS KPI'!$G$7,"00")&amp;"  |  "&amp;TEXT('EHS KPI'!$G$8,"dd mmm yyyy")&amp;"  -  "&amp;TEXT('EHS KPI'!$G$9,"dd mmm yyyy")</f>
      </c>
    </row>
    <row r="2" spans="1:9" ht="14" ns3:dyDescent="0.25">
      <c r="A2" s="27" t="s">
        <v>1</v>
      </c>
      <c r="B2" s="28" t="inlineStr">
        <is>
          <t>Mon</t>
        </is>
      </c>
      <c r="C2" s="28" t="inlineStr">
        <is>
          <t>Tue</t>
        </is>
      </c>
      <c r="D2" s="28" t="inlineStr">
        <is>
          <t>Wed</t>
        </is>
      </c>
      <c r="E2" s="28" t="inlineStr">
        <is>
          <t>Thu</t>
        </is>
      </c>
      <c r="F2" s="28" t="inlineStr">
        <is>
          <t>Fri</t>
        </is>
      </c>
      <c r="G2" s="28" t="inlineStr">
        <is>
          <t>Sat</t>
        </is>
      </c>
      <c r="H2" s="28" t="inlineStr">
        <is>
          <t>Sun</t>
        </is>
      </c>
      <c r="I2" s="28" t="inlineStr">
        <is>
          <t>Week Total</t>
        </is>
      </c>
    </row>
    <row r="3" spans="1:10" ht="15.5" ns3:dyDescent="0.35">
      <c r="A3" s="19" t="s">
        <v>72</v>
      </c>
      <c r="B3" s="19"/>
      <c r="C3" s="19"/>
      <c r="D3" s="19"/>
      <c r="E3" s="19"/>
      <c r="F3" s="19"/>
      <c r="G3" s="19"/>
      <c r="H3" s="19"/>
      <c r="I3" s="19">
        <f>SUM(B3:H3)</f>
      </c>
      <c r="J3" s="50" t="inlineStr">
        <is>
          <t xml:space="preserve"> (m3)</t>
        </is>
      </c>
    </row>
    <row r="4" spans="1:10" ht="15.5" ns3:dyDescent="0.35">
      <c r="A4" s="19" t="s">
        <v>74</v>
      </c>
      <c r="B4" s="19"/>
      <c r="C4" s="19"/>
      <c r="D4" s="19"/>
      <c r="E4" s="19"/>
      <c r="F4" s="19"/>
      <c r="G4" s="19"/>
      <c r="H4" s="19"/>
      <c r="I4" s="19">
        <f>SUM(B4:H4)</f>
      </c>
      <c r="J4" s="50" t="inlineStr">
        <is>
          <t xml:space="preserve"> (kW)</t>
        </is>
      </c>
    </row>
    <row r="5" spans="1:10" ht="15.5" ns3:dyDescent="0.35">
      <c r="A5" s="19" t="s">
        <v>76</v>
      </c>
      <c r="B5" s="19"/>
      <c r="C5" s="19"/>
      <c r="D5" s="19"/>
      <c r="E5" s="19"/>
      <c r="F5" s="19"/>
      <c r="G5" s="19"/>
      <c r="H5" s="19"/>
      <c r="I5" s="30">
        <f>SUM(B5:H5)</f>
      </c>
      <c r="J5" s="49" t="inlineStr">
        <is>
          <t xml:space="preserve"> (kg)</t>
        </is>
      </c>
    </row>
    <row r="6" spans="1:10" ht="15.5" ns3:dyDescent="0.35">
      <c r="A6" s="19" t="s">
        <v>78</v>
      </c>
      <c r="B6" s="19"/>
      <c r="C6" s="19"/>
      <c r="D6" s="19"/>
      <c r="E6" s="19"/>
      <c r="F6" s="19"/>
      <c r="G6" s="19"/>
      <c r="H6" s="19"/>
      <c r="I6" s="19">
        <f>SUM(B6:H6)</f>
      </c>
      <c r="J6" s="49" t="inlineStr">
        <is>
          <t xml:space="preserve"> (kg)</t>
        </is>
      </c>
    </row>
    <row r="7" spans="1:10" ht="15.5" ns3:dyDescent="0.35">
      <c r="A7" s="31" t="s">
        <v>79</v>
      </c>
      <c r="B7" s="31"/>
      <c r="C7" s="19"/>
      <c r="D7" s="31"/>
      <c r="E7" s="31"/>
      <c r="F7" s="31"/>
      <c r="G7" s="31"/>
      <c r="H7" s="31"/>
      <c r="I7" s="31">
        <f>SUM(B7:H7)</f>
      </c>
      <c r="J7" s="49" t="inlineStr">
        <is>
          <t xml:space="preserve"> (kg)</t>
        </is>
      </c>
    </row>
    <row r="8" spans="1:10" ht="15.5" ns3:dyDescent="0.35">
      <c r="A8" s="31" t="s">
        <v>80</v>
      </c>
      <c r="B8" s="31"/>
      <c r="C8" s="19"/>
      <c r="D8" s="31"/>
      <c r="E8" s="31"/>
      <c r="F8" s="31"/>
      <c r="G8" s="31"/>
      <c r="H8" s="31"/>
      <c r="I8" s="31">
        <f>SUM(B8:H8)</f>
      </c>
      <c r="J8" s="49" t="inlineStr">
        <is>
          <t xml:space="preserve"> (kg)</t>
        </is>
      </c>
    </row>
    <row r="9" spans="1:10" ht="15.5" ns3:dyDescent="0.35">
      <c r="A9" s="31" t="s">
        <v>81</v>
      </c>
      <c r="B9" s="30"/>
      <c r="C9" s="19"/>
      <c r="D9" s="30"/>
      <c r="E9" s="30"/>
      <c r="F9" s="30"/>
      <c r="G9" s="30"/>
      <c r="H9" s="30"/>
      <c r="I9" s="30">
        <f>SUM(B9:H9)</f>
      </c>
      <c r="J9" s="49" t="inlineStr">
        <is>
          <t xml:space="preserve"> (kg)</t>
        </is>
      </c>
    </row>
    <row r="10" spans="1:10" ht="15.5" ns3:dyDescent="0.35">
      <c r="A10" s="19" t="s">
        <v>82</v>
      </c>
      <c r="B10" s="19"/>
      <c r="C10" s="19"/>
      <c r="D10" s="19"/>
      <c r="E10" s="19"/>
      <c r="F10" s="19"/>
      <c r="G10" s="19"/>
      <c r="H10" s="19"/>
      <c r="I10" s="19">
        <f>SUM(B10:H10)</f>
      </c>
      <c r="J10" s="49" t="inlineStr">
        <is>
          <t xml:space="preserve"> (kg)</t>
        </is>
      </c>
    </row>
  </sheetData>
  <phoneticPr fontId="16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f343a81b-e3df-4e86-8ab6-013119a4d707">
      <Terms xmlns="http://schemas.microsoft.com/office/infopath/2007/PartnerControls"/>
    </lcf76f155ced4ddcb4097134ff3c332f>
    <TaxCatchAll xmlns="e1f61282-0a94-474a-b1d8-0842f4046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7055F7895164687BCE17D3DC44D64" ma:contentTypeVersion="14" ma:contentTypeDescription="Create a new document." ma:contentTypeScope="" ma:versionID="fdc7f8c0383670fa92696b2e9033b16d">
  <xsd:schema xmlns:xsd="http://www.w3.org/2001/XMLSchema" xmlns:xs="http://www.w3.org/2001/XMLSchema" xmlns:p="http://schemas.microsoft.com/office/2006/metadata/properties" xmlns:ns2="f343a81b-e3df-4e86-8ab6-013119a4d707" xmlns:ns3="e1f61282-0a94-474a-b1d8-0842f404620b" targetNamespace="http://schemas.microsoft.com/office/2006/metadata/properties" ma:root="true" ma:fieldsID="cea71c4196af7e1481d8e4bc68122b6f" ns2:_="" ns3:_="">
    <xsd:import namespace="f343a81b-e3df-4e86-8ab6-013119a4d707"/>
    <xsd:import namespace="e1f61282-0a94-474a-b1d8-0842f4046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3a81b-e3df-4e86-8ab6-013119a4d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61282-0a94-474a-b1d8-0842f404620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01db1e-dac0-436f-8997-28b3e42f3e66}" ma:internalName="TaxCatchAll" ma:showField="CatchAllData" ma:web="e1f61282-0a94-474a-b1d8-0842f4046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B6DEA9-641A-4526-84C4-C8376AD1807A}">
  <ds:schemaRefs>
    <ds:schemaRef ds:uri="http://schemas.microsoft.com/office/2006/metadata/properties"/>
    <ds:schemaRef ds:uri="f343a81b-e3df-4e86-8ab6-013119a4d707"/>
    <ds:schemaRef ds:uri="http://schemas.microsoft.com/office/infopath/2007/PartnerControls"/>
    <ds:schemaRef ds:uri="e1f61282-0a94-474a-b1d8-0842f404620b"/>
  </ds:schemaRefs>
</ds:datastoreItem>
</file>

<file path=customXml/itemProps2.xml><?xml version="1.0" encoding="utf-8"?>
<ds:datastoreItem xmlns:ds="http://schemas.openxmlformats.org/officeDocument/2006/customXml" ds:itemID="{2688A853-06C0-4BC7-AA1F-403F164D97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CE175-B71F-4A47-A83F-3AE0436C4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3a81b-e3df-4e86-8ab6-013119a4d707"/>
    <ds:schemaRef ds:uri="e1f61282-0a94-474a-b1d8-0842f4046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EHS Communication (2)</vt:lpstr>
      <vt:lpstr>EHS Incıdent</vt:lpstr>
      <vt:lpstr>CAPA List </vt:lpstr>
      <vt:lpstr>EHS KPI</vt:lpstr>
      <vt:lpstr>Environmental</vt:lpstr>
      <vt:lpstr>'EHS KPI'!Print_Area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Stephane Joly</dc:creator>
  <cp:keywords>C_Unrestricted</cp:keywords>
  <dc:description/>
  <cp:lastModifiedBy>Ahmed Aljassem</cp:lastModifiedBy>
  <cp:revision/>
  <dcterms:created xsi:type="dcterms:W3CDTF">2012-11-07T08:20:43Z</dcterms:created>
  <dcterms:modified xsi:type="dcterms:W3CDTF">2026-09-01T10:16:22Z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ocument Confidentiality">
    <vt:lpwstr>Unrestricted</vt:lpwstr>
  </property>
  <property fmtid="{D5CDD505-2E9C-101B-9397-08002B2CF9AE}" pid="4" name="MSIP_Label_6f75f480-7803-4ee9-bb54-84d0635fdbe7_Enabled">
    <vt:lpwstr>true</vt:lpwstr>
  </property>
  <property fmtid="{D5CDD505-2E9C-101B-9397-08002B2CF9AE}" pid="5" name="MSIP_Label_6f75f480-7803-4ee9-bb54-84d0635fdbe7_SetDate">
    <vt:lpwstr>2020-10-30T10:41:11Z</vt:lpwstr>
  </property>
  <property fmtid="{D5CDD505-2E9C-101B-9397-08002B2CF9AE}" pid="6" name="MSIP_Label_6f75f480-7803-4ee9-bb54-84d0635fdbe7_Method">
    <vt:lpwstr>Standard</vt:lpwstr>
  </property>
  <property fmtid="{D5CDD505-2E9C-101B-9397-08002B2CF9AE}" pid="7" name="MSIP_Label_6f75f480-7803-4ee9-bb54-84d0635fdbe7_Name">
    <vt:lpwstr>unrestricted</vt:lpwstr>
  </property>
  <property fmtid="{D5CDD505-2E9C-101B-9397-08002B2CF9AE}" pid="8" name="MSIP_Label_6f75f480-7803-4ee9-bb54-84d0635fdbe7_SiteId">
    <vt:lpwstr>38ae3bcd-9579-4fd4-adda-b42e1495d55a</vt:lpwstr>
  </property>
  <property fmtid="{D5CDD505-2E9C-101B-9397-08002B2CF9AE}" pid="9" name="MSIP_Label_6f75f480-7803-4ee9-bb54-84d0635fdbe7_ActionId">
    <vt:lpwstr>21f9f383-9a6d-4117-9202-7fd56bd685df</vt:lpwstr>
  </property>
  <property fmtid="{D5CDD505-2E9C-101B-9397-08002B2CF9AE}" pid="10" name="MSIP_Label_6f75f480-7803-4ee9-bb54-84d0635fdbe7_ContentBits">
    <vt:lpwstr>0</vt:lpwstr>
  </property>
  <property fmtid="{D5CDD505-2E9C-101B-9397-08002B2CF9AE}" pid="11" name="Document_Confidentiality">
    <vt:lpwstr>Unrestricted</vt:lpwstr>
  </property>
  <property fmtid="{D5CDD505-2E9C-101B-9397-08002B2CF9AE}" pid="12" name="MSIP_Label_36791f77-3d39-4d72-9277-ac879ec799ed_Enabled">
    <vt:lpwstr>true</vt:lpwstr>
  </property>
  <property fmtid="{D5CDD505-2E9C-101B-9397-08002B2CF9AE}" pid="13" name="MSIP_Label_36791f77-3d39-4d72-9277-ac879ec799ed_SetDate">
    <vt:lpwstr>2022-11-07T13:09:28Z</vt:lpwstr>
  </property>
  <property fmtid="{D5CDD505-2E9C-101B-9397-08002B2CF9AE}" pid="14" name="MSIP_Label_36791f77-3d39-4d72-9277-ac879ec799ed_Method">
    <vt:lpwstr>Standard</vt:lpwstr>
  </property>
  <property fmtid="{D5CDD505-2E9C-101B-9397-08002B2CF9AE}" pid="15" name="MSIP_Label_36791f77-3d39-4d72-9277-ac879ec799ed_Name">
    <vt:lpwstr>restricted-default</vt:lpwstr>
  </property>
  <property fmtid="{D5CDD505-2E9C-101B-9397-08002B2CF9AE}" pid="16" name="MSIP_Label_36791f77-3d39-4d72-9277-ac879ec799ed_SiteId">
    <vt:lpwstr>254ba93e-1f6f-48f3-90e6-e2766664b477</vt:lpwstr>
  </property>
  <property fmtid="{D5CDD505-2E9C-101B-9397-08002B2CF9AE}" pid="17" name="MSIP_Label_36791f77-3d39-4d72-9277-ac879ec799ed_ActionId">
    <vt:lpwstr>fd9ee943-ed72-4623-9326-33c6e42cd1e5</vt:lpwstr>
  </property>
  <property fmtid="{D5CDD505-2E9C-101B-9397-08002B2CF9AE}" pid="18" name="MSIP_Label_36791f77-3d39-4d72-9277-ac879ec799ed_ContentBits">
    <vt:lpwstr>0</vt:lpwstr>
  </property>
  <property fmtid="{D5CDD505-2E9C-101B-9397-08002B2CF9AE}" pid="19" name="ContentTypeId">
    <vt:lpwstr>0x0101001F97055F7895164687BCE17D3DC44D64</vt:lpwstr>
  </property>
  <property fmtid="{D5CDD505-2E9C-101B-9397-08002B2CF9AE}" pid="20" name="MediaServiceImageTags">
    <vt:lpwstr/>
  </property>
</Properties>
</file>