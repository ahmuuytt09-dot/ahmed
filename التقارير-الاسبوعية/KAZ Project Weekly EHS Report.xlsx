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HS KPI" sheetId="2" state="visible" r:id="rId2"/>
    <sheet name="EHS Communication" sheetId="3" state="visible" r:id="rId3"/>
    <sheet name="EHS Incidents" sheetId="4" state="visible" r:id="rId4"/>
    <sheet name="CAPA List" sheetId="5" state="visible" r:id="rId5"/>
    <sheet name="Environmental" sheetId="6" state="visible" r:id="rId6"/>
  </sheets>
  <definedNames>
    <definedName name="_xlnm._FilterDatabase" localSheetId="4" hidden="1">'CAPA List'!$A$5:$H$35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d\ dd\-mmm"/>
    <numFmt numFmtId="165" formatCode="[$-409]dd\-mmm\-yyyy"/>
    <numFmt numFmtId="166" formatCode="[$-409]dddd&quot;, &quot;dd\ mmmm\ 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D6DCE5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262626"/>
      <sz val="10"/>
    </font>
    <font>
      <name val="Calibri"/>
      <b val="1"/>
      <color rgb="001F3864"/>
      <sz val="10"/>
    </font>
    <font>
      <name val="Calibri"/>
      <i val="1"/>
      <color rgb="00595959"/>
      <sz val="8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b val="1"/>
      <color rgb="00FFFFFF"/>
      <sz val="9"/>
    </font>
    <font>
      <name val="Calibri"/>
      <b val="1"/>
      <color rgb="001F3864"/>
      <sz val="2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F4F7FC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BF8F00"/>
      </patternFill>
    </fill>
    <fill>
      <patternFill patternType="solid">
        <fgColor rgb="00548235"/>
      </patternFill>
    </fill>
  </fills>
  <borders count="5">
    <border>
      <left/>
      <right/>
      <top/>
      <bottom/>
      <diagonal/>
    </border>
    <border>
      <bottom style="medium">
        <color rgb="001F3864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9000"/>
      </left>
      <right style="thin">
        <color rgb="00BF9000"/>
      </right>
      <top style="thin">
        <color rgb="00BF9000"/>
      </top>
      <bottom style="thin">
        <color rgb="00BF9000"/>
      </bottom>
    </border>
    <border>
      <bottom style="thin">
        <color rgb="00595959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2"/>
    </xf>
    <xf numFmtId="0" fontId="3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0" fontId="6" fillId="6" borderId="2" applyAlignment="1" pivotButton="0" quotePrefix="0" xfId="0">
      <alignment horizontal="right" vertical="center" indent="1"/>
    </xf>
    <xf numFmtId="0" fontId="0" fillId="6" borderId="2" pivotButton="0" quotePrefix="0" xfId="0"/>
    <xf numFmtId="1" fontId="8" fillId="5" borderId="3" applyAlignment="1" pivotButton="0" quotePrefix="0" xfId="0">
      <alignment horizontal="center" vertical="center" wrapText="1"/>
    </xf>
    <xf numFmtId="0" fontId="0" fillId="5" borderId="3" pivotButton="0" quotePrefix="0" xfId="0"/>
    <xf numFmtId="0" fontId="9" fillId="0" borderId="0" applyAlignment="1" pivotButton="0" quotePrefix="0" xfId="0">
      <alignment horizontal="left" vertical="center" indent="1"/>
    </xf>
    <xf numFmtId="166" fontId="8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0" fontId="10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10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0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10" fillId="11" borderId="0" applyAlignment="1" pivotButton="0" quotePrefix="0" xfId="0">
      <alignment horizontal="center" vertical="center" wrapText="1"/>
    </xf>
    <xf numFmtId="0" fontId="0" fillId="11" borderId="0" pivotButton="0" quotePrefix="0" xfId="0"/>
    <xf numFmtId="0" fontId="10" fillId="2" borderId="0" applyAlignment="1" pivotButton="0" quotePrefix="0" xfId="0">
      <alignment horizontal="center" vertical="center" wrapText="1"/>
    </xf>
    <xf numFmtId="3" fontId="11" fillId="7" borderId="2" applyAlignment="1" pivotButton="0" quotePrefix="0" xfId="0">
      <alignment horizontal="center" vertical="center" wrapText="1"/>
    </xf>
    <xf numFmtId="1" fontId="11" fillId="7" borderId="2" applyAlignment="1" pivotButton="0" quotePrefix="0" xfId="0">
      <alignment horizontal="center" vertical="center" wrapText="1"/>
    </xf>
    <xf numFmtId="2" fontId="11" fillId="7" borderId="2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0" borderId="4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4" fillId="2" borderId="2" applyAlignment="1" pivotButton="0" quotePrefix="0" xfId="0">
      <alignment horizontal="center" vertical="center" wrapText="1"/>
    </xf>
    <xf numFmtId="164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indent="1"/>
    </xf>
    <xf numFmtId="3" fontId="5" fillId="5" borderId="3" applyAlignment="1" pivotButton="0" quotePrefix="0" xfId="0">
      <alignment horizontal="center" vertical="center" wrapText="1"/>
    </xf>
    <xf numFmtId="3" fontId="6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3" fontId="5" fillId="7" borderId="2" applyAlignment="1" pivotButton="0" quotePrefix="0" xfId="0">
      <alignment horizontal="center" vertical="center" wrapText="1"/>
    </xf>
    <xf numFmtId="1" fontId="5" fillId="5" borderId="3" applyAlignment="1" pivotButton="0" quotePrefix="0" xfId="0">
      <alignment horizontal="center" vertical="center" wrapText="1"/>
    </xf>
    <xf numFmtId="1" fontId="6" fillId="6" borderId="2" applyAlignment="1" pivotButton="0" quotePrefix="0" xfId="0">
      <alignment horizontal="center" vertical="center" wrapText="1"/>
    </xf>
    <xf numFmtId="2" fontId="5" fillId="7" borderId="2" applyAlignment="1" pivotButton="0" quotePrefix="0" xfId="0">
      <alignment horizontal="center" vertical="center" wrapText="1"/>
    </xf>
    <xf numFmtId="2" fontId="6" fillId="6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165" fontId="5" fillId="5" borderId="3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left" vertical="center" indent="1"/>
    </xf>
    <xf numFmtId="0" fontId="5" fillId="5" borderId="3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Manhours by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'EHS KPI'!A6</f>
            </strRef>
          </tx>
          <spPr>
            <a:ln>
              <a:prstDash val="solid"/>
            </a:ln>
          </spPr>
          <cat>
            <numRef>
              <f>'EHS KPI'!$B$5:$H$5</f>
            </numRef>
          </cat>
          <val>
            <numRef>
              <f>'EHS KPI'!$B$6:$H$6</f>
            </numRef>
          </val>
        </ser>
        <ser>
          <idx val="1"/>
          <order val="1"/>
          <tx>
            <strRef>
              <f>'EHS KPI'!A7</f>
            </strRef>
          </tx>
          <spPr>
            <a:ln>
              <a:prstDash val="solid"/>
            </a:ln>
          </spPr>
          <cat>
            <numRef>
              <f>'EHS KPI'!$B$5:$H$5</f>
            </numRef>
          </cat>
          <val>
            <numRef>
              <f>'EHS KPI'!$B$7:$H$7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EHS events — week total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'EHS KPI'!$A$12:$A$19</f>
            </numRef>
          </cat>
          <val>
            <numRef>
              <f>'EHS KPI'!$I$12:$I$19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Activities — week total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'EHS Communication'!$A$6:$A$13</f>
            </numRef>
          </cat>
          <val>
            <numRef>
              <f>'EHS Communication'!$I$6:$I$13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Events — week total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'EHS Incidents'!$A$6:$A$15</f>
            </numRef>
          </cat>
          <val>
            <numRef>
              <f>'EHS Incidents'!$I$6:$I$15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Consumption &amp; waste — week total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'Environmental'!$A$6:$A$13</f>
            </numRef>
          </cat>
          <val>
            <numRef>
              <f>'Environmental'!$I$6:$I$13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66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666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86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86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86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2.9" customWidth="1" min="2" max="2"/>
    <col width="12.9" customWidth="1" min="3" max="3"/>
    <col width="12.9" customWidth="1" min="4" max="4"/>
    <col width="12.9" customWidth="1" min="5" max="5"/>
    <col width="12.9" customWidth="1" min="6" max="6"/>
    <col width="12.9" customWidth="1" min="7" max="7"/>
    <col width="12.9" customWidth="1" min="8" max="8"/>
    <col width="12.9" customWidth="1" min="9" max="9"/>
    <col width="12.9" customWidth="1" min="10" max="10"/>
    <col width="12.9" customWidth="1" min="11" max="11"/>
    <col width="12.9" customWidth="1" min="12" max="12"/>
    <col width="12.9" customWidth="1" min="13" max="13"/>
  </cols>
  <sheetData>
    <row r="1" ht="42" customHeight="1">
      <c r="A1" s="1" t="inlineStr">
        <is>
          <t>KAZ PROJECT  —  WEEKLY EHS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0" customHeight="1">
      <c r="A2" s="3">
        <f>"Environment, Health &amp; Safety   •   Reporting year "&amp;TEXT(DATE(2026,6,1),"[$-409]mmm yyyy")&amp;" – "&amp;TEXT(DATE(2027,5,31),"[$-409]mmm 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7" customHeight="1"/>
    <row r="4" ht="20" customHeight="1">
      <c r="A4" s="4" t="inlineStr">
        <is>
          <t>REPORTING PERIOD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 ht="21" customHeight="1">
      <c r="B5" s="6" t="inlineStr">
        <is>
          <t>Report Week No.</t>
        </is>
      </c>
      <c r="C5" s="7" t="n"/>
      <c r="D5" s="8" t="n">
        <v>1</v>
      </c>
      <c r="E5" s="9" t="n"/>
      <c r="F5" s="9" t="n"/>
      <c r="H5" s="10" t="inlineStr">
        <is>
          <t>▶  Type the week number in the yellow cell — every sheet updates its dates automatically.</t>
        </is>
      </c>
    </row>
    <row r="6" ht="21" customHeight="1">
      <c r="B6" s="6" t="inlineStr">
        <is>
          <t>Week Start</t>
        </is>
      </c>
      <c r="C6" s="7" t="n"/>
      <c r="D6" s="11">
        <f>DATE(2026,6,1)+(D5-1)*7</f>
        <v/>
      </c>
      <c r="E6" s="12" t="n"/>
      <c r="F6" s="12" t="n"/>
    </row>
    <row r="7" ht="21" customHeight="1">
      <c r="B7" s="6" t="inlineStr">
        <is>
          <t>Week End</t>
        </is>
      </c>
      <c r="C7" s="7" t="n"/>
      <c r="D7" s="11">
        <f>D6+6</f>
        <v/>
      </c>
      <c r="E7" s="12" t="n"/>
      <c r="F7" s="12" t="n"/>
    </row>
    <row r="8" ht="7" customHeight="1"/>
    <row r="9" ht="20" customHeight="1">
      <c r="A9" s="4" t="inlineStr">
        <is>
          <t>KEY FIGURES — THIS WEEK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  <row r="10" ht="19" customHeight="1">
      <c r="B10" s="13" t="inlineStr">
        <is>
          <t>TOTAL MANHOURS</t>
        </is>
      </c>
      <c r="C10" s="14" t="n"/>
      <c r="D10" s="15" t="inlineStr">
        <is>
          <t>RECORDABLE INJURIES</t>
        </is>
      </c>
      <c r="E10" s="16" t="n"/>
      <c r="F10" s="17" t="inlineStr">
        <is>
          <t>FIRST AID CASES</t>
        </is>
      </c>
      <c r="G10" s="18" t="n"/>
      <c r="H10" s="19" t="inlineStr">
        <is>
          <t>NEAR MISSES</t>
        </is>
      </c>
      <c r="I10" s="20" t="n"/>
      <c r="J10" s="21" t="inlineStr">
        <is>
          <t>AFR</t>
        </is>
      </c>
      <c r="K10" s="2" t="n"/>
      <c r="L10" s="21" t="inlineStr">
        <is>
          <t>TRIR</t>
        </is>
      </c>
      <c r="M10" s="2" t="n"/>
    </row>
    <row r="11" ht="36" customHeight="1">
      <c r="B11" s="22">
        <f>'EHS KPI'!I8</f>
        <v/>
      </c>
      <c r="C11" s="12" t="n"/>
      <c r="D11" s="23">
        <f>SUM('EHS KPI'!I13:I15)</f>
        <v/>
      </c>
      <c r="E11" s="12" t="n"/>
      <c r="F11" s="23">
        <f>'EHS KPI'!I16</f>
        <v/>
      </c>
      <c r="G11" s="12" t="n"/>
      <c r="H11" s="23">
        <f>'EHS KPI'!I23</f>
        <v/>
      </c>
      <c r="I11" s="12" t="n"/>
      <c r="J11" s="24">
        <f>'EHS KPI'!I29</f>
        <v/>
      </c>
      <c r="K11" s="12" t="n"/>
      <c r="L11" s="24">
        <f>'EHS KPI'!I30</f>
        <v/>
      </c>
      <c r="M11" s="12" t="n"/>
    </row>
    <row r="12" ht="7" customHeight="1"/>
    <row r="13" ht="20" customHeight="1">
      <c r="A13" s="4" t="inlineStr">
        <is>
          <t>TRENDS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33" ht="22" customHeight="1">
      <c r="B33" s="25" t="inlineStr">
        <is>
          <t>Prepared by:</t>
        </is>
      </c>
      <c r="C33" s="26" t="n"/>
      <c r="D33" s="26" t="n"/>
      <c r="F33" s="25" t="inlineStr">
        <is>
          <t>Reviewed by:</t>
        </is>
      </c>
      <c r="G33" s="26" t="n"/>
      <c r="H33" s="26" t="n"/>
      <c r="J33" s="25" t="inlineStr">
        <is>
          <t>Date:</t>
        </is>
      </c>
      <c r="K33" s="26" t="n"/>
      <c r="L33" s="26" t="n"/>
    </row>
    <row r="35" ht="14" customHeight="1">
      <c r="B35" s="27" t="inlineStr">
        <is>
          <t>Legend:</t>
        </is>
      </c>
      <c r="C35" s="9" t="n"/>
      <c r="D35" s="27" t="inlineStr">
        <is>
          <t>manual input</t>
        </is>
      </c>
      <c r="F35" s="7" t="n"/>
      <c r="G35" s="27" t="inlineStr">
        <is>
          <t>calculated — do not type</t>
        </is>
      </c>
    </row>
  </sheetData>
  <mergeCells count="24">
    <mergeCell ref="F11:G11"/>
    <mergeCell ref="D10:E10"/>
    <mergeCell ref="B7:C7"/>
    <mergeCell ref="F10:G10"/>
    <mergeCell ref="H10:I10"/>
    <mergeCell ref="J10:K10"/>
    <mergeCell ref="A4:M4"/>
    <mergeCell ref="D7:F7"/>
    <mergeCell ref="A13:M13"/>
    <mergeCell ref="B11:C11"/>
    <mergeCell ref="D11:E11"/>
    <mergeCell ref="A9:M9"/>
    <mergeCell ref="H11:I11"/>
    <mergeCell ref="J11:K11"/>
    <mergeCell ref="A1:M1"/>
    <mergeCell ref="D5:F5"/>
    <mergeCell ref="H5:M5"/>
    <mergeCell ref="L10:M10"/>
    <mergeCell ref="B10:C10"/>
    <mergeCell ref="B6:C6"/>
    <mergeCell ref="B5:C5"/>
    <mergeCell ref="L11:M11"/>
    <mergeCell ref="D6:F6"/>
    <mergeCell ref="A2:M2"/>
  </mergeCells>
  <dataValidations count="1">
    <dataValidation sqref="D5" showDropDown="0" showInputMessage="0" showErrorMessage="1" allowBlank="0" errorTitle="Invalid week" error="Enter a week number between 1 and 52." type="whole" operator="between">
      <formula1>1</formula1>
      <formula2>52</formula2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J3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3" customWidth="1" min="9" max="9"/>
    <col width="11" customWidth="1" min="10" max="10"/>
  </cols>
  <sheetData>
    <row r="1" ht="34" customHeight="1">
      <c r="A1" s="28" t="inlineStr">
        <is>
          <t>EHS KPI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29">
        <f>"WEEK "&amp;TEXT(Dashboard!$D$5,"00")&amp;"   •   "&amp;TEXT(Dashboard!$D$6,"[$-409]dd mmm yyyy")&amp;"  –  "&amp;TEXT(Dashboard!$D$7,"[$-409]dd mmm 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7" customHeight="1"/>
    <row r="4" ht="20" customHeight="1">
      <c r="A4" s="4" t="inlineStr">
        <is>
          <t>MANHOURS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0" customHeight="1">
      <c r="A5" s="30" t="inlineStr">
        <is>
          <t>CATEGORY</t>
        </is>
      </c>
      <c r="B5" s="31">
        <f>Dashboard!$D$6+0</f>
        <v/>
      </c>
      <c r="C5" s="31">
        <f>Dashboard!$D$6+1</f>
        <v/>
      </c>
      <c r="D5" s="31">
        <f>Dashboard!$D$6+2</f>
        <v/>
      </c>
      <c r="E5" s="31">
        <f>Dashboard!$D$6+3</f>
        <v/>
      </c>
      <c r="F5" s="31">
        <f>Dashboard!$D$6+4</f>
        <v/>
      </c>
      <c r="G5" s="31">
        <f>Dashboard!$D$6+5</f>
        <v/>
      </c>
      <c r="H5" s="31">
        <f>Dashboard!$D$6+6</f>
        <v/>
      </c>
      <c r="I5" s="32" t="inlineStr">
        <is>
          <t>WEEK
TOTAL</t>
        </is>
      </c>
      <c r="J5" s="32" t="inlineStr">
        <is>
          <t>YTD</t>
        </is>
      </c>
    </row>
    <row r="6" ht="17" customHeight="1">
      <c r="A6" s="33" t="inlineStr">
        <is>
          <t>Siemens Energy</t>
        </is>
      </c>
      <c r="B6" s="34" t="n"/>
      <c r="C6" s="34" t="n"/>
      <c r="D6" s="34" t="n"/>
      <c r="E6" s="34" t="n"/>
      <c r="F6" s="34" t="n"/>
      <c r="G6" s="34" t="n"/>
      <c r="H6" s="34" t="n"/>
      <c r="I6" s="35">
        <f>SUM(B6:H6)</f>
        <v/>
      </c>
      <c r="J6" s="34" t="n"/>
    </row>
    <row r="7" ht="17" customHeight="1">
      <c r="A7" s="36" t="inlineStr">
        <is>
          <t>Subcontractors</t>
        </is>
      </c>
      <c r="B7" s="34" t="n"/>
      <c r="C7" s="34" t="n"/>
      <c r="D7" s="34" t="n"/>
      <c r="E7" s="34" t="n"/>
      <c r="F7" s="34" t="n"/>
      <c r="G7" s="34" t="n"/>
      <c r="H7" s="34" t="n"/>
      <c r="I7" s="35">
        <f>SUM(B7:H7)</f>
        <v/>
      </c>
      <c r="J7" s="34" t="n"/>
    </row>
    <row r="8" ht="17" customHeight="1">
      <c r="A8" s="37" t="inlineStr">
        <is>
          <t>Total Manhours</t>
        </is>
      </c>
      <c r="B8" s="38">
        <f>SUM(B6:B7)</f>
        <v/>
      </c>
      <c r="C8" s="38">
        <f>SUM(C6:C7)</f>
        <v/>
      </c>
      <c r="D8" s="38">
        <f>SUM(D6:D7)</f>
        <v/>
      </c>
      <c r="E8" s="38">
        <f>SUM(E6:E7)</f>
        <v/>
      </c>
      <c r="F8" s="38">
        <f>SUM(F6:F7)</f>
        <v/>
      </c>
      <c r="G8" s="38">
        <f>SUM(G6:G7)</f>
        <v/>
      </c>
      <c r="H8" s="38">
        <f>SUM(H6:H7)</f>
        <v/>
      </c>
      <c r="I8" s="35">
        <f>SUM(I6:I7)</f>
        <v/>
      </c>
      <c r="J8" s="35">
        <f>SUM(J6:J7)</f>
        <v/>
      </c>
    </row>
    <row r="9" ht="8" customHeight="1"/>
    <row r="10" ht="20" customHeight="1">
      <c r="A10" s="4" t="inlineStr">
        <is>
          <t>RE-ACTIVE EVENTS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0" customHeight="1">
      <c r="A11" s="30" t="inlineStr">
        <is>
          <t>EVENT TYPE</t>
        </is>
      </c>
      <c r="B11" s="31">
        <f>Dashboard!$D$6+0</f>
        <v/>
      </c>
      <c r="C11" s="31">
        <f>Dashboard!$D$6+1</f>
        <v/>
      </c>
      <c r="D11" s="31">
        <f>Dashboard!$D$6+2</f>
        <v/>
      </c>
      <c r="E11" s="31">
        <f>Dashboard!$D$6+3</f>
        <v/>
      </c>
      <c r="F11" s="31">
        <f>Dashboard!$D$6+4</f>
        <v/>
      </c>
      <c r="G11" s="31">
        <f>Dashboard!$D$6+5</f>
        <v/>
      </c>
      <c r="H11" s="31">
        <f>Dashboard!$D$6+6</f>
        <v/>
      </c>
      <c r="I11" s="32" t="inlineStr">
        <is>
          <t>WEEK
TOTAL</t>
        </is>
      </c>
      <c r="J11" s="32" t="inlineStr">
        <is>
          <t>YTD</t>
        </is>
      </c>
    </row>
    <row r="12" ht="17" customHeight="1">
      <c r="A12" s="33" t="inlineStr">
        <is>
          <t>Fatality</t>
        </is>
      </c>
      <c r="B12" s="39" t="n"/>
      <c r="C12" s="39" t="n"/>
      <c r="D12" s="39" t="n"/>
      <c r="E12" s="39" t="n"/>
      <c r="F12" s="39" t="n"/>
      <c r="G12" s="39" t="n"/>
      <c r="H12" s="39" t="n"/>
      <c r="I12" s="40">
        <f>SUM(B12:H12)</f>
        <v/>
      </c>
      <c r="J12" s="39" t="n"/>
    </row>
    <row r="13" ht="17" customHeight="1">
      <c r="A13" s="36" t="inlineStr">
        <is>
          <t>Lost Time Case</t>
        </is>
      </c>
      <c r="B13" s="39" t="n"/>
      <c r="C13" s="39" t="n"/>
      <c r="D13" s="39" t="n"/>
      <c r="E13" s="39" t="n"/>
      <c r="F13" s="39" t="n"/>
      <c r="G13" s="39" t="n"/>
      <c r="H13" s="39" t="n"/>
      <c r="I13" s="40">
        <f>SUM(B13:H13)</f>
        <v/>
      </c>
      <c r="J13" s="39" t="n"/>
    </row>
    <row r="14" ht="17" customHeight="1">
      <c r="A14" s="33" t="inlineStr">
        <is>
          <t>Restricted Work Case</t>
        </is>
      </c>
      <c r="B14" s="39" t="n"/>
      <c r="C14" s="39" t="n"/>
      <c r="D14" s="39" t="n"/>
      <c r="E14" s="39" t="n"/>
      <c r="F14" s="39" t="n"/>
      <c r="G14" s="39" t="n"/>
      <c r="H14" s="39" t="n"/>
      <c r="I14" s="40">
        <f>SUM(B14:H14)</f>
        <v/>
      </c>
      <c r="J14" s="39" t="n"/>
    </row>
    <row r="15" ht="17" customHeight="1">
      <c r="A15" s="36" t="inlineStr">
        <is>
          <t>Medical Treatment Case</t>
        </is>
      </c>
      <c r="B15" s="39" t="n"/>
      <c r="C15" s="39" t="n"/>
      <c r="D15" s="39" t="n"/>
      <c r="E15" s="39" t="n"/>
      <c r="F15" s="39" t="n"/>
      <c r="G15" s="39" t="n"/>
      <c r="H15" s="39" t="n"/>
      <c r="I15" s="40">
        <f>SUM(B15:H15)</f>
        <v/>
      </c>
      <c r="J15" s="39" t="n"/>
    </row>
    <row r="16" ht="17" customHeight="1">
      <c r="A16" s="33" t="inlineStr">
        <is>
          <t>First Aid Case</t>
        </is>
      </c>
      <c r="B16" s="39" t="n"/>
      <c r="C16" s="39" t="n"/>
      <c r="D16" s="39" t="n"/>
      <c r="E16" s="39" t="n"/>
      <c r="F16" s="39" t="n"/>
      <c r="G16" s="39" t="n"/>
      <c r="H16" s="39" t="n"/>
      <c r="I16" s="40">
        <f>SUM(B16:H16)</f>
        <v/>
      </c>
      <c r="J16" s="39" t="n"/>
    </row>
    <row r="17" ht="17" customHeight="1">
      <c r="A17" s="36" t="inlineStr">
        <is>
          <t>Damage</t>
        </is>
      </c>
      <c r="B17" s="39" t="n"/>
      <c r="C17" s="39" t="n"/>
      <c r="D17" s="39" t="n"/>
      <c r="E17" s="39" t="n"/>
      <c r="F17" s="39" t="n"/>
      <c r="G17" s="39" t="n"/>
      <c r="H17" s="39" t="n"/>
      <c r="I17" s="40">
        <f>SUM(B17:H17)</f>
        <v/>
      </c>
      <c r="J17" s="39" t="n"/>
    </row>
    <row r="18" ht="17" customHeight="1">
      <c r="A18" s="33" t="inlineStr">
        <is>
          <t>Travel Incident</t>
        </is>
      </c>
      <c r="B18" s="39" t="n"/>
      <c r="C18" s="39" t="n"/>
      <c r="D18" s="39" t="n"/>
      <c r="E18" s="39" t="n"/>
      <c r="F18" s="39" t="n"/>
      <c r="G18" s="39" t="n"/>
      <c r="H18" s="39" t="n"/>
      <c r="I18" s="40">
        <f>SUM(B18:H18)</f>
        <v/>
      </c>
      <c r="J18" s="39" t="n"/>
    </row>
    <row r="19" ht="17" customHeight="1">
      <c r="A19" s="36" t="inlineStr">
        <is>
          <t>Environmental Event</t>
        </is>
      </c>
      <c r="B19" s="39" t="n"/>
      <c r="C19" s="39" t="n"/>
      <c r="D19" s="39" t="n"/>
      <c r="E19" s="39" t="n"/>
      <c r="F19" s="39" t="n"/>
      <c r="G19" s="39" t="n"/>
      <c r="H19" s="39" t="n"/>
      <c r="I19" s="40">
        <f>SUM(B19:H19)</f>
        <v/>
      </c>
      <c r="J19" s="39" t="n"/>
    </row>
    <row r="20" ht="8" customHeight="1"/>
    <row r="21" ht="20" customHeight="1">
      <c r="A21" s="4" t="inlineStr">
        <is>
          <t>PRO-ACTIVE EVENTS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30" customHeight="1">
      <c r="A22" s="30" t="inlineStr">
        <is>
          <t>EVENT TYPE</t>
        </is>
      </c>
      <c r="B22" s="31">
        <f>Dashboard!$D$6+0</f>
        <v/>
      </c>
      <c r="C22" s="31">
        <f>Dashboard!$D$6+1</f>
        <v/>
      </c>
      <c r="D22" s="31">
        <f>Dashboard!$D$6+2</f>
        <v/>
      </c>
      <c r="E22" s="31">
        <f>Dashboard!$D$6+3</f>
        <v/>
      </c>
      <c r="F22" s="31">
        <f>Dashboard!$D$6+4</f>
        <v/>
      </c>
      <c r="G22" s="31">
        <f>Dashboard!$D$6+5</f>
        <v/>
      </c>
      <c r="H22" s="31">
        <f>Dashboard!$D$6+6</f>
        <v/>
      </c>
      <c r="I22" s="32" t="inlineStr">
        <is>
          <t>WEEK
TOTAL</t>
        </is>
      </c>
      <c r="J22" s="32" t="inlineStr">
        <is>
          <t>YTD</t>
        </is>
      </c>
    </row>
    <row r="23" ht="17" customHeight="1">
      <c r="A23" s="33" t="inlineStr">
        <is>
          <t>Near Miss</t>
        </is>
      </c>
      <c r="B23" s="39" t="n"/>
      <c r="C23" s="39" t="n"/>
      <c r="D23" s="39" t="n"/>
      <c r="E23" s="39" t="n"/>
      <c r="F23" s="39" t="n"/>
      <c r="G23" s="39" t="n"/>
      <c r="H23" s="39" t="n"/>
      <c r="I23" s="40">
        <f>SUM(B23:H23)</f>
        <v/>
      </c>
      <c r="J23" s="39" t="n"/>
    </row>
    <row r="24" ht="17" customHeight="1">
      <c r="A24" s="36" t="inlineStr">
        <is>
          <t>Unsafe Condition / Act</t>
        </is>
      </c>
      <c r="B24" s="39" t="n"/>
      <c r="C24" s="39" t="n"/>
      <c r="D24" s="39" t="n"/>
      <c r="E24" s="39" t="n"/>
      <c r="F24" s="39" t="n"/>
      <c r="G24" s="39" t="n"/>
      <c r="H24" s="39" t="n"/>
      <c r="I24" s="40">
        <f>SUM(B24:H24)</f>
        <v/>
      </c>
      <c r="J24" s="39" t="n"/>
    </row>
    <row r="25" ht="17" customHeight="1">
      <c r="A25" s="33" t="inlineStr">
        <is>
          <t>Safety Observation</t>
        </is>
      </c>
      <c r="B25" s="39" t="n"/>
      <c r="C25" s="39" t="n"/>
      <c r="D25" s="39" t="n"/>
      <c r="E25" s="39" t="n"/>
      <c r="F25" s="39" t="n"/>
      <c r="G25" s="39" t="n"/>
      <c r="H25" s="39" t="n"/>
      <c r="I25" s="40">
        <f>SUM(B25:H25)</f>
        <v/>
      </c>
      <c r="J25" s="39" t="n"/>
    </row>
    <row r="26" ht="8" customHeight="1"/>
    <row r="27" ht="20" customHeight="1">
      <c r="A27" s="4" t="inlineStr">
        <is>
          <t>SAFETY PERFORMANCE INDICATORS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30" customHeight="1">
      <c r="A28" s="30" t="inlineStr">
        <is>
          <t>INDICATOR</t>
        </is>
      </c>
      <c r="B28" s="31">
        <f>Dashboard!$D$6+0</f>
        <v/>
      </c>
      <c r="C28" s="31">
        <f>Dashboard!$D$6+1</f>
        <v/>
      </c>
      <c r="D28" s="31">
        <f>Dashboard!$D$6+2</f>
        <v/>
      </c>
      <c r="E28" s="31">
        <f>Dashboard!$D$6+3</f>
        <v/>
      </c>
      <c r="F28" s="31">
        <f>Dashboard!$D$6+4</f>
        <v/>
      </c>
      <c r="G28" s="31">
        <f>Dashboard!$D$6+5</f>
        <v/>
      </c>
      <c r="H28" s="31">
        <f>Dashboard!$D$6+6</f>
        <v/>
      </c>
      <c r="I28" s="32" t="inlineStr">
        <is>
          <t>WEEK
TOTAL</t>
        </is>
      </c>
      <c r="J28" s="32" t="inlineStr">
        <is>
          <t>YTD</t>
        </is>
      </c>
    </row>
    <row r="29" ht="17" customHeight="1">
      <c r="A29" s="37" t="inlineStr">
        <is>
          <t>Accident Frequency Rate (AFR)</t>
        </is>
      </c>
      <c r="B29" s="41">
        <f>IF(SUM($B8:B8)=0,0,SUM($B12:B13)*200000/SUM($B8:B8))</f>
        <v/>
      </c>
      <c r="C29" s="41">
        <f>IF(SUM($B8:C8)=0,0,SUM($B12:C13)*200000/SUM($B8:C8))</f>
        <v/>
      </c>
      <c r="D29" s="41">
        <f>IF(SUM($B8:D8)=0,0,SUM($B12:D13)*200000/SUM($B8:D8))</f>
        <v/>
      </c>
      <c r="E29" s="41">
        <f>IF(SUM($B8:E8)=0,0,SUM($B12:E13)*200000/SUM($B8:E8))</f>
        <v/>
      </c>
      <c r="F29" s="41">
        <f>IF(SUM($B8:F8)=0,0,SUM($B12:F13)*200000/SUM($B8:F8))</f>
        <v/>
      </c>
      <c r="G29" s="41">
        <f>IF(SUM($B8:G8)=0,0,SUM($B12:G13)*200000/SUM($B8:G8))</f>
        <v/>
      </c>
      <c r="H29" s="41">
        <f>IF(SUM($B8:H8)=0,0,SUM($B12:H13)*200000/SUM($B8:H8))</f>
        <v/>
      </c>
      <c r="I29" s="42">
        <f>IF(I8=0,0,SUM(I12:I13)*200000/I8)</f>
        <v/>
      </c>
      <c r="J29" s="42">
        <f>IF(J8=0,0,SUM(J12:J13)*200000/J8)</f>
        <v/>
      </c>
    </row>
    <row r="30" ht="17" customHeight="1">
      <c r="A30" s="37" t="inlineStr">
        <is>
          <t>Total Recordable Injury Rate (TRIR)</t>
        </is>
      </c>
      <c r="B30" s="41">
        <f>IF(SUM($B8:B8)=0,0,SUM($B13:B15)*200000/SUM($B8:B8))</f>
        <v/>
      </c>
      <c r="C30" s="41">
        <f>IF(SUM($B8:C8)=0,0,SUM($B13:C15)*200000/SUM($B8:C8))</f>
        <v/>
      </c>
      <c r="D30" s="41">
        <f>IF(SUM($B8:D8)=0,0,SUM($B13:D15)*200000/SUM($B8:D8))</f>
        <v/>
      </c>
      <c r="E30" s="41">
        <f>IF(SUM($B8:E8)=0,0,SUM($B13:E15)*200000/SUM($B8:E8))</f>
        <v/>
      </c>
      <c r="F30" s="41">
        <f>IF(SUM($B8:F8)=0,0,SUM($B13:F15)*200000/SUM($B8:F8))</f>
        <v/>
      </c>
      <c r="G30" s="41">
        <f>IF(SUM($B8:G8)=0,0,SUM($B13:G15)*200000/SUM($B8:G8))</f>
        <v/>
      </c>
      <c r="H30" s="41">
        <f>IF(SUM($B8:H8)=0,0,SUM($B13:H15)*200000/SUM($B8:H8))</f>
        <v/>
      </c>
      <c r="I30" s="42">
        <f>IF(I8=0,0,SUM(I13:I15)*200000/I8)</f>
        <v/>
      </c>
      <c r="J30" s="42">
        <f>IF(J8=0,0,SUM(J13:J15)*200000/J8)</f>
        <v/>
      </c>
    </row>
    <row r="31" ht="17" customHeight="1">
      <c r="A31" s="37" t="inlineStr">
        <is>
          <t>Environmental Frequency Rate (EFR)</t>
        </is>
      </c>
      <c r="B31" s="41">
        <f>IF(SUM($B8:B8)=0,0,SUM($B19:B19)*1000/SUM($B8:B8))</f>
        <v/>
      </c>
      <c r="C31" s="41">
        <f>IF(SUM($B8:C8)=0,0,SUM($B19:C19)*1000/SUM($B8:C8))</f>
        <v/>
      </c>
      <c r="D31" s="41">
        <f>IF(SUM($B8:D8)=0,0,SUM($B19:D19)*1000/SUM($B8:D8))</f>
        <v/>
      </c>
      <c r="E31" s="41">
        <f>IF(SUM($B8:E8)=0,0,SUM($B19:E19)*1000/SUM($B8:E8))</f>
        <v/>
      </c>
      <c r="F31" s="41">
        <f>IF(SUM($B8:F8)=0,0,SUM($B19:F19)*1000/SUM($B8:F8))</f>
        <v/>
      </c>
      <c r="G31" s="41">
        <f>IF(SUM($B8:G8)=0,0,SUM($B19:G19)*1000/SUM($B8:G8))</f>
        <v/>
      </c>
      <c r="H31" s="41">
        <f>IF(SUM($B8:H8)=0,0,SUM($B19:H19)*1000/SUM($B8:H8))</f>
        <v/>
      </c>
      <c r="I31" s="42">
        <f>IF(I8=0,0,I19*1000/I8)</f>
        <v/>
      </c>
      <c r="J31" s="42">
        <f>IF(J8=0,0,J19*1000/J8)</f>
        <v/>
      </c>
    </row>
    <row r="33" ht="14" customHeight="1">
      <c r="A33" s="27" t="inlineStr">
        <is>
          <t>Legend:</t>
        </is>
      </c>
      <c r="B33" s="9" t="n"/>
      <c r="C33" s="27" t="inlineStr">
        <is>
          <t>manual input</t>
        </is>
      </c>
      <c r="E33" s="7" t="n"/>
      <c r="F33" s="27" t="inlineStr">
        <is>
          <t>calculated — do not type</t>
        </is>
      </c>
    </row>
  </sheetData>
  <mergeCells count="6">
    <mergeCell ref="A1:J1"/>
    <mergeCell ref="A27:J27"/>
    <mergeCell ref="A21:J21"/>
    <mergeCell ref="A4:J4"/>
    <mergeCell ref="A2:J2"/>
    <mergeCell ref="A10:J10"/>
  </mergeCells>
  <conditionalFormatting sqref="B29:J31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3" customWidth="1" min="9" max="9"/>
    <col width="11" customWidth="1" min="10" max="10"/>
  </cols>
  <sheetData>
    <row r="1" ht="34" customHeight="1">
      <c r="A1" s="28" t="inlineStr">
        <is>
          <t>EHS COMMUNICATION &amp; TRAINING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29">
        <f>"WEEK "&amp;TEXT(Dashboard!$D$5,"00")&amp;"   •   "&amp;TEXT(Dashboard!$D$6,"[$-409]dd mmm yyyy")&amp;"  –  "&amp;TEXT(Dashboard!$D$7,"[$-409]dd mmm 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7" customHeight="1"/>
    <row r="4" ht="20" customHeight="1">
      <c r="A4" s="4" t="inlineStr">
        <is>
          <t>ACTIVITIES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0" customHeight="1">
      <c r="A5" s="30" t="inlineStr">
        <is>
          <t>ACTIVITY</t>
        </is>
      </c>
      <c r="B5" s="31">
        <f>Dashboard!$D$6+0</f>
        <v/>
      </c>
      <c r="C5" s="31">
        <f>Dashboard!$D$6+1</f>
        <v/>
      </c>
      <c r="D5" s="31">
        <f>Dashboard!$D$6+2</f>
        <v/>
      </c>
      <c r="E5" s="31">
        <f>Dashboard!$D$6+3</f>
        <v/>
      </c>
      <c r="F5" s="31">
        <f>Dashboard!$D$6+4</f>
        <v/>
      </c>
      <c r="G5" s="31">
        <f>Dashboard!$D$6+5</f>
        <v/>
      </c>
      <c r="H5" s="31">
        <f>Dashboard!$D$6+6</f>
        <v/>
      </c>
      <c r="I5" s="32" t="inlineStr">
        <is>
          <t>WEEK
TOTAL</t>
        </is>
      </c>
      <c r="J5" s="32" t="inlineStr">
        <is>
          <t>YTD</t>
        </is>
      </c>
    </row>
    <row r="6" ht="17" customHeight="1">
      <c r="A6" s="33" t="inlineStr">
        <is>
          <t>Toolbox Talk</t>
        </is>
      </c>
      <c r="B6" s="34" t="n"/>
      <c r="C6" s="34" t="n"/>
      <c r="D6" s="34" t="n"/>
      <c r="E6" s="34" t="n"/>
      <c r="F6" s="34" t="n"/>
      <c r="G6" s="34" t="n"/>
      <c r="H6" s="34" t="n"/>
      <c r="I6" s="35">
        <f>SUM(B6:H6)</f>
        <v/>
      </c>
      <c r="J6" s="34" t="n"/>
    </row>
    <row r="7" ht="17" customHeight="1">
      <c r="A7" s="36" t="inlineStr">
        <is>
          <t>EHS Meeting</t>
        </is>
      </c>
      <c r="B7" s="34" t="n"/>
      <c r="C7" s="34" t="n"/>
      <c r="D7" s="34" t="n"/>
      <c r="E7" s="34" t="n"/>
      <c r="F7" s="34" t="n"/>
      <c r="G7" s="34" t="n"/>
      <c r="H7" s="34" t="n"/>
      <c r="I7" s="35">
        <f>SUM(B7:H7)</f>
        <v/>
      </c>
      <c r="J7" s="34" t="n"/>
    </row>
    <row r="8" ht="17" customHeight="1">
      <c r="A8" s="33" t="inlineStr">
        <is>
          <t>Site Induction Training</t>
        </is>
      </c>
      <c r="B8" s="34" t="n"/>
      <c r="C8" s="34" t="n"/>
      <c r="D8" s="34" t="n"/>
      <c r="E8" s="34" t="n"/>
      <c r="F8" s="34" t="n"/>
      <c r="G8" s="34" t="n"/>
      <c r="H8" s="34" t="n"/>
      <c r="I8" s="35">
        <f>SUM(B8:H8)</f>
        <v/>
      </c>
      <c r="J8" s="34" t="n"/>
    </row>
    <row r="9" ht="17" customHeight="1">
      <c r="A9" s="36" t="inlineStr">
        <is>
          <t>Site Inspection</t>
        </is>
      </c>
      <c r="B9" s="34" t="n"/>
      <c r="C9" s="34" t="n"/>
      <c r="D9" s="34" t="n"/>
      <c r="E9" s="34" t="n"/>
      <c r="F9" s="34" t="n"/>
      <c r="G9" s="34" t="n"/>
      <c r="H9" s="34" t="n"/>
      <c r="I9" s="35">
        <f>SUM(B9:H9)</f>
        <v/>
      </c>
      <c r="J9" s="34" t="n"/>
    </row>
    <row r="10" ht="17" customHeight="1">
      <c r="A10" s="33" t="inlineStr">
        <is>
          <t>EHS Award</t>
        </is>
      </c>
      <c r="B10" s="34" t="n"/>
      <c r="C10" s="34" t="n"/>
      <c r="D10" s="34" t="n"/>
      <c r="E10" s="34" t="n"/>
      <c r="F10" s="34" t="n"/>
      <c r="G10" s="34" t="n"/>
      <c r="H10" s="34" t="n"/>
      <c r="I10" s="35">
        <f>SUM(B10:H10)</f>
        <v/>
      </c>
      <c r="J10" s="34" t="n"/>
    </row>
    <row r="11" ht="17" customHeight="1">
      <c r="A11" s="36" t="inlineStr">
        <is>
          <t>SWAT (DIV/BU)</t>
        </is>
      </c>
      <c r="B11" s="34" t="n"/>
      <c r="C11" s="34" t="n"/>
      <c r="D11" s="34" t="n"/>
      <c r="E11" s="34" t="n"/>
      <c r="F11" s="34" t="n"/>
      <c r="G11" s="34" t="n"/>
      <c r="H11" s="34" t="n"/>
      <c r="I11" s="35">
        <f>SUM(B11:H11)</f>
        <v/>
      </c>
      <c r="J11" s="34" t="n"/>
    </row>
    <row r="12" ht="17" customHeight="1">
      <c r="A12" s="33" t="inlineStr">
        <is>
          <t>Work Permit Issued</t>
        </is>
      </c>
      <c r="B12" s="34" t="n"/>
      <c r="C12" s="34" t="n"/>
      <c r="D12" s="34" t="n"/>
      <c r="E12" s="34" t="n"/>
      <c r="F12" s="34" t="n"/>
      <c r="G12" s="34" t="n"/>
      <c r="H12" s="34" t="n"/>
      <c r="I12" s="35">
        <f>SUM(B12:H12)</f>
        <v/>
      </c>
      <c r="J12" s="34" t="n"/>
    </row>
    <row r="13" ht="17" customHeight="1">
      <c r="A13" s="36" t="inlineStr">
        <is>
          <t>Onsite EHS Induction</t>
        </is>
      </c>
      <c r="B13" s="34" t="n"/>
      <c r="C13" s="34" t="n"/>
      <c r="D13" s="34" t="n"/>
      <c r="E13" s="34" t="n"/>
      <c r="F13" s="34" t="n"/>
      <c r="G13" s="34" t="n"/>
      <c r="H13" s="34" t="n"/>
      <c r="I13" s="35">
        <f>SUM(B13:H13)</f>
        <v/>
      </c>
      <c r="J13" s="34" t="n"/>
    </row>
    <row r="15" ht="14" customHeight="1">
      <c r="A15" s="27" t="inlineStr">
        <is>
          <t>Legend:</t>
        </is>
      </c>
      <c r="B15" s="9" t="n"/>
      <c r="C15" s="27" t="inlineStr">
        <is>
          <t>manual input</t>
        </is>
      </c>
      <c r="E15" s="7" t="n"/>
      <c r="F15" s="27" t="inlineStr">
        <is>
          <t>calculated — do not type</t>
        </is>
      </c>
    </row>
  </sheetData>
  <mergeCells count="3">
    <mergeCell ref="A1:J1"/>
    <mergeCell ref="A4:J4"/>
    <mergeCell ref="A2:J2"/>
  </mergeCell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J1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3" customWidth="1" min="9" max="9"/>
    <col width="11" customWidth="1" min="10" max="10"/>
  </cols>
  <sheetData>
    <row r="1" ht="34" customHeight="1">
      <c r="A1" s="28" t="inlineStr">
        <is>
          <t>EHS INCIDENTS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29">
        <f>"WEEK "&amp;TEXT(Dashboard!$D$5,"00")&amp;"   •   "&amp;TEXT(Dashboard!$D$6,"[$-409]dd mmm yyyy")&amp;"  –  "&amp;TEXT(Dashboard!$D$7,"[$-409]dd mmm 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7" customHeight="1"/>
    <row r="4" ht="20" customHeight="1">
      <c r="A4" s="4" t="inlineStr">
        <is>
          <t>RE-ACTIVE &amp; PRO-ACTIVE EVENTS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0" customHeight="1">
      <c r="A5" s="30" t="inlineStr">
        <is>
          <t>EVENT TYPE</t>
        </is>
      </c>
      <c r="B5" s="31">
        <f>Dashboard!$D$6+0</f>
        <v/>
      </c>
      <c r="C5" s="31">
        <f>Dashboard!$D$6+1</f>
        <v/>
      </c>
      <c r="D5" s="31">
        <f>Dashboard!$D$6+2</f>
        <v/>
      </c>
      <c r="E5" s="31">
        <f>Dashboard!$D$6+3</f>
        <v/>
      </c>
      <c r="F5" s="31">
        <f>Dashboard!$D$6+4</f>
        <v/>
      </c>
      <c r="G5" s="31">
        <f>Dashboard!$D$6+5</f>
        <v/>
      </c>
      <c r="H5" s="31">
        <f>Dashboard!$D$6+6</f>
        <v/>
      </c>
      <c r="I5" s="32" t="inlineStr">
        <is>
          <t>WEEK
TOTAL</t>
        </is>
      </c>
      <c r="J5" s="32" t="inlineStr">
        <is>
          <t>YTD</t>
        </is>
      </c>
    </row>
    <row r="6" ht="17" customHeight="1">
      <c r="A6" s="33" t="inlineStr">
        <is>
          <t>Fatality</t>
        </is>
      </c>
      <c r="B6" s="39" t="n"/>
      <c r="C6" s="39" t="n"/>
      <c r="D6" s="39" t="n"/>
      <c r="E6" s="39" t="n"/>
      <c r="F6" s="39" t="n"/>
      <c r="G6" s="39" t="n"/>
      <c r="H6" s="39" t="n"/>
      <c r="I6" s="40">
        <f>SUM(B6:H6)</f>
        <v/>
      </c>
      <c r="J6" s="39" t="n"/>
    </row>
    <row r="7" ht="17" customHeight="1">
      <c r="A7" s="36" t="inlineStr">
        <is>
          <t>Lost Time Case</t>
        </is>
      </c>
      <c r="B7" s="39" t="n"/>
      <c r="C7" s="39" t="n"/>
      <c r="D7" s="39" t="n"/>
      <c r="E7" s="39" t="n"/>
      <c r="F7" s="39" t="n"/>
      <c r="G7" s="39" t="n"/>
      <c r="H7" s="39" t="n"/>
      <c r="I7" s="40">
        <f>SUM(B7:H7)</f>
        <v/>
      </c>
      <c r="J7" s="39" t="n"/>
    </row>
    <row r="8" ht="17" customHeight="1">
      <c r="A8" s="33" t="inlineStr">
        <is>
          <t>Restricted Work Case</t>
        </is>
      </c>
      <c r="B8" s="39" t="n"/>
      <c r="C8" s="39" t="n"/>
      <c r="D8" s="39" t="n"/>
      <c r="E8" s="39" t="n"/>
      <c r="F8" s="39" t="n"/>
      <c r="G8" s="39" t="n"/>
      <c r="H8" s="39" t="n"/>
      <c r="I8" s="40">
        <f>SUM(B8:H8)</f>
        <v/>
      </c>
      <c r="J8" s="39" t="n"/>
    </row>
    <row r="9" ht="17" customHeight="1">
      <c r="A9" s="36" t="inlineStr">
        <is>
          <t>Medical Treatment Case</t>
        </is>
      </c>
      <c r="B9" s="39" t="n"/>
      <c r="C9" s="39" t="n"/>
      <c r="D9" s="39" t="n"/>
      <c r="E9" s="39" t="n"/>
      <c r="F9" s="39" t="n"/>
      <c r="G9" s="39" t="n"/>
      <c r="H9" s="39" t="n"/>
      <c r="I9" s="40">
        <f>SUM(B9:H9)</f>
        <v/>
      </c>
      <c r="J9" s="39" t="n"/>
    </row>
    <row r="10" ht="17" customHeight="1">
      <c r="A10" s="33" t="inlineStr">
        <is>
          <t>First Aid Case</t>
        </is>
      </c>
      <c r="B10" s="39" t="n"/>
      <c r="C10" s="39" t="n"/>
      <c r="D10" s="39" t="n"/>
      <c r="E10" s="39" t="n"/>
      <c r="F10" s="39" t="n"/>
      <c r="G10" s="39" t="n"/>
      <c r="H10" s="39" t="n"/>
      <c r="I10" s="40">
        <f>SUM(B10:H10)</f>
        <v/>
      </c>
      <c r="J10" s="39" t="n"/>
    </row>
    <row r="11" ht="17" customHeight="1">
      <c r="A11" s="36" t="inlineStr">
        <is>
          <t>Damage</t>
        </is>
      </c>
      <c r="B11" s="39" t="n"/>
      <c r="C11" s="39" t="n"/>
      <c r="D11" s="39" t="n"/>
      <c r="E11" s="39" t="n"/>
      <c r="F11" s="39" t="n"/>
      <c r="G11" s="39" t="n"/>
      <c r="H11" s="39" t="n"/>
      <c r="I11" s="40">
        <f>SUM(B11:H11)</f>
        <v/>
      </c>
      <c r="J11" s="39" t="n"/>
    </row>
    <row r="12" ht="17" customHeight="1">
      <c r="A12" s="33" t="inlineStr">
        <is>
          <t>Travel Incident</t>
        </is>
      </c>
      <c r="B12" s="39" t="n"/>
      <c r="C12" s="39" t="n"/>
      <c r="D12" s="39" t="n"/>
      <c r="E12" s="39" t="n"/>
      <c r="F12" s="39" t="n"/>
      <c r="G12" s="39" t="n"/>
      <c r="H12" s="39" t="n"/>
      <c r="I12" s="40">
        <f>SUM(B12:H12)</f>
        <v/>
      </c>
      <c r="J12" s="39" t="n"/>
    </row>
    <row r="13" ht="17" customHeight="1">
      <c r="A13" s="36" t="inlineStr">
        <is>
          <t>Environmental Event</t>
        </is>
      </c>
      <c r="B13" s="39" t="n"/>
      <c r="C13" s="39" t="n"/>
      <c r="D13" s="39" t="n"/>
      <c r="E13" s="39" t="n"/>
      <c r="F13" s="39" t="n"/>
      <c r="G13" s="39" t="n"/>
      <c r="H13" s="39" t="n"/>
      <c r="I13" s="40">
        <f>SUM(B13:H13)</f>
        <v/>
      </c>
      <c r="J13" s="39" t="n"/>
    </row>
    <row r="14" ht="17" customHeight="1">
      <c r="A14" s="33" t="inlineStr">
        <is>
          <t>Near Miss</t>
        </is>
      </c>
      <c r="B14" s="39" t="n"/>
      <c r="C14" s="39" t="n"/>
      <c r="D14" s="39" t="n"/>
      <c r="E14" s="39" t="n"/>
      <c r="F14" s="39" t="n"/>
      <c r="G14" s="39" t="n"/>
      <c r="H14" s="39" t="n"/>
      <c r="I14" s="40">
        <f>SUM(B14:H14)</f>
        <v/>
      </c>
      <c r="J14" s="39" t="n"/>
    </row>
    <row r="15" ht="17" customHeight="1">
      <c r="A15" s="36" t="inlineStr">
        <is>
          <t>Unsafe Condition / Act</t>
        </is>
      </c>
      <c r="B15" s="39" t="n"/>
      <c r="C15" s="39" t="n"/>
      <c r="D15" s="39" t="n"/>
      <c r="E15" s="39" t="n"/>
      <c r="F15" s="39" t="n"/>
      <c r="G15" s="39" t="n"/>
      <c r="H15" s="39" t="n"/>
      <c r="I15" s="40">
        <f>SUM(B15:H15)</f>
        <v/>
      </c>
      <c r="J15" s="39" t="n"/>
    </row>
    <row r="17" ht="14" customHeight="1">
      <c r="A17" s="27" t="inlineStr">
        <is>
          <t>Legend:</t>
        </is>
      </c>
      <c r="B17" s="9" t="n"/>
      <c r="C17" s="27" t="inlineStr">
        <is>
          <t>manual input</t>
        </is>
      </c>
      <c r="E17" s="7" t="n"/>
      <c r="F17" s="27" t="inlineStr">
        <is>
          <t>calculated — do not type</t>
        </is>
      </c>
    </row>
  </sheetData>
  <mergeCells count="3">
    <mergeCell ref="A1:J1"/>
    <mergeCell ref="A4:J4"/>
    <mergeCell ref="A2:J2"/>
  </mergeCell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H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8" customWidth="1" min="3" max="3"/>
    <col width="40" customWidth="1" min="4" max="4"/>
    <col width="40" customWidth="1" min="5" max="5"/>
    <col width="18" customWidth="1" min="6" max="6"/>
    <col width="14" customWidth="1" min="7" max="7"/>
    <col width="14" customWidth="1" min="8" max="8"/>
  </cols>
  <sheetData>
    <row r="1" ht="34" customHeight="1">
      <c r="A1" s="28" t="inlineStr">
        <is>
          <t>CAPA REGISTER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29">
        <f>"WEEK "&amp;TEXT(Dashboard!$D$5,"00")&amp;"   •   "&amp;TEXT(Dashboard!$D$6,"[$-409]dd mmm yyyy")&amp;"  –  "&amp;TEXT(Dashboard!$D$7,"[$-409]dd mmm yyyy")</f>
        <v/>
      </c>
      <c r="B2" s="2" t="n"/>
      <c r="C2" s="2" t="n"/>
      <c r="D2" s="2" t="n"/>
      <c r="E2" s="2" t="n"/>
      <c r="F2" s="2" t="n"/>
      <c r="G2" s="2" t="n"/>
      <c r="H2" s="2" t="n"/>
    </row>
    <row r="3" ht="7" customHeight="1"/>
    <row r="4" ht="20" customHeight="1">
      <c r="A4" s="4" t="inlineStr">
        <is>
          <t>CORRECTIVE &amp; PREVENTIVE ACTIONS</t>
        </is>
      </c>
      <c r="B4" s="5" t="n"/>
      <c r="C4" s="5" t="n"/>
      <c r="D4" s="5" t="n"/>
      <c r="E4" s="5" t="n"/>
      <c r="F4" s="5" t="n"/>
      <c r="G4" s="5" t="n"/>
      <c r="H4" s="5" t="n"/>
    </row>
    <row r="5" ht="28" customHeight="1">
      <c r="A5" s="30" t="inlineStr">
        <is>
          <t>CAPA No.</t>
        </is>
      </c>
      <c r="B5" s="30" t="inlineStr">
        <is>
          <t>Date of Detection</t>
        </is>
      </c>
      <c r="C5" s="30" t="inlineStr">
        <is>
          <t>Location</t>
        </is>
      </c>
      <c r="D5" s="30" t="inlineStr">
        <is>
          <t>Unsafe Situation / Behaviour</t>
        </is>
      </c>
      <c r="E5" s="30" t="inlineStr">
        <is>
          <t>Action to Take</t>
        </is>
      </c>
      <c r="F5" s="30" t="inlineStr">
        <is>
          <t>Responsible</t>
        </is>
      </c>
      <c r="G5" s="30" t="inlineStr">
        <is>
          <t>Deadline</t>
        </is>
      </c>
      <c r="H5" s="30" t="inlineStr">
        <is>
          <t>Status</t>
        </is>
      </c>
    </row>
    <row r="6" ht="18" customHeight="1">
      <c r="A6" s="43" t="inlineStr">
        <is>
          <t>DOF0001</t>
        </is>
      </c>
      <c r="B6" s="44" t="n"/>
      <c r="C6" s="45" t="n"/>
      <c r="D6" s="45" t="n"/>
      <c r="E6" s="45" t="n"/>
      <c r="F6" s="45" t="n"/>
      <c r="G6" s="44" t="n"/>
      <c r="H6" s="46" t="n"/>
    </row>
    <row r="7" ht="18" customHeight="1">
      <c r="A7" s="43" t="inlineStr">
        <is>
          <t>DOF0002</t>
        </is>
      </c>
      <c r="B7" s="44" t="n"/>
      <c r="C7" s="45" t="n"/>
      <c r="D7" s="45" t="n"/>
      <c r="E7" s="45" t="n"/>
      <c r="F7" s="45" t="n"/>
      <c r="G7" s="44" t="n"/>
      <c r="H7" s="46" t="n"/>
    </row>
    <row r="8" ht="18" customHeight="1">
      <c r="A8" s="43" t="inlineStr">
        <is>
          <t>DOF0003</t>
        </is>
      </c>
      <c r="B8" s="44" t="n"/>
      <c r="C8" s="45" t="n"/>
      <c r="D8" s="45" t="n"/>
      <c r="E8" s="45" t="n"/>
      <c r="F8" s="45" t="n"/>
      <c r="G8" s="44" t="n"/>
      <c r="H8" s="46" t="n"/>
    </row>
    <row r="9" ht="18" customHeight="1">
      <c r="A9" s="43" t="inlineStr">
        <is>
          <t>DOF0004</t>
        </is>
      </c>
      <c r="B9" s="44" t="n"/>
      <c r="C9" s="45" t="n"/>
      <c r="D9" s="45" t="n"/>
      <c r="E9" s="45" t="n"/>
      <c r="F9" s="45" t="n"/>
      <c r="G9" s="44" t="n"/>
      <c r="H9" s="46" t="n"/>
    </row>
    <row r="10" ht="18" customHeight="1">
      <c r="A10" s="43" t="inlineStr">
        <is>
          <t>DOF0005</t>
        </is>
      </c>
      <c r="B10" s="44" t="n"/>
      <c r="C10" s="45" t="n"/>
      <c r="D10" s="45" t="n"/>
      <c r="E10" s="45" t="n"/>
      <c r="F10" s="45" t="n"/>
      <c r="G10" s="44" t="n"/>
      <c r="H10" s="46" t="n"/>
    </row>
    <row r="11" ht="18" customHeight="1">
      <c r="A11" s="43" t="inlineStr">
        <is>
          <t>DOF0006</t>
        </is>
      </c>
      <c r="B11" s="44" t="n"/>
      <c r="C11" s="45" t="n"/>
      <c r="D11" s="45" t="n"/>
      <c r="E11" s="45" t="n"/>
      <c r="F11" s="45" t="n"/>
      <c r="G11" s="44" t="n"/>
      <c r="H11" s="46" t="n"/>
    </row>
    <row r="12" ht="18" customHeight="1">
      <c r="A12" s="43" t="inlineStr">
        <is>
          <t>DOF0007</t>
        </is>
      </c>
      <c r="B12" s="44" t="n"/>
      <c r="C12" s="45" t="n"/>
      <c r="D12" s="45" t="n"/>
      <c r="E12" s="45" t="n"/>
      <c r="F12" s="45" t="n"/>
      <c r="G12" s="44" t="n"/>
      <c r="H12" s="46" t="n"/>
    </row>
    <row r="13" ht="18" customHeight="1">
      <c r="A13" s="43" t="inlineStr">
        <is>
          <t>DOF0008</t>
        </is>
      </c>
      <c r="B13" s="44" t="n"/>
      <c r="C13" s="45" t="n"/>
      <c r="D13" s="45" t="n"/>
      <c r="E13" s="45" t="n"/>
      <c r="F13" s="45" t="n"/>
      <c r="G13" s="44" t="n"/>
      <c r="H13" s="46" t="n"/>
    </row>
    <row r="14" ht="18" customHeight="1">
      <c r="A14" s="43" t="inlineStr">
        <is>
          <t>DOF0009</t>
        </is>
      </c>
      <c r="B14" s="44" t="n"/>
      <c r="C14" s="45" t="n"/>
      <c r="D14" s="45" t="n"/>
      <c r="E14" s="45" t="n"/>
      <c r="F14" s="45" t="n"/>
      <c r="G14" s="44" t="n"/>
      <c r="H14" s="46" t="n"/>
    </row>
    <row r="15" ht="18" customHeight="1">
      <c r="A15" s="43" t="inlineStr">
        <is>
          <t>DOF0010</t>
        </is>
      </c>
      <c r="B15" s="44" t="n"/>
      <c r="C15" s="45" t="n"/>
      <c r="D15" s="45" t="n"/>
      <c r="E15" s="45" t="n"/>
      <c r="F15" s="45" t="n"/>
      <c r="G15" s="44" t="n"/>
      <c r="H15" s="46" t="n"/>
    </row>
    <row r="16" ht="18" customHeight="1">
      <c r="A16" s="43" t="inlineStr">
        <is>
          <t>DOF0011</t>
        </is>
      </c>
      <c r="B16" s="44" t="n"/>
      <c r="C16" s="45" t="n"/>
      <c r="D16" s="45" t="n"/>
      <c r="E16" s="45" t="n"/>
      <c r="F16" s="45" t="n"/>
      <c r="G16" s="44" t="n"/>
      <c r="H16" s="46" t="n"/>
    </row>
    <row r="17" ht="18" customHeight="1">
      <c r="A17" s="43" t="inlineStr">
        <is>
          <t>DOF0012</t>
        </is>
      </c>
      <c r="B17" s="44" t="n"/>
      <c r="C17" s="45" t="n"/>
      <c r="D17" s="45" t="n"/>
      <c r="E17" s="45" t="n"/>
      <c r="F17" s="45" t="n"/>
      <c r="G17" s="44" t="n"/>
      <c r="H17" s="46" t="n"/>
    </row>
    <row r="18" ht="18" customHeight="1">
      <c r="A18" s="43" t="inlineStr">
        <is>
          <t>DOF0013</t>
        </is>
      </c>
      <c r="B18" s="44" t="n"/>
      <c r="C18" s="45" t="n"/>
      <c r="D18" s="45" t="n"/>
      <c r="E18" s="45" t="n"/>
      <c r="F18" s="45" t="n"/>
      <c r="G18" s="44" t="n"/>
      <c r="H18" s="46" t="n"/>
    </row>
    <row r="19" ht="18" customHeight="1">
      <c r="A19" s="43" t="inlineStr">
        <is>
          <t>DOF0014</t>
        </is>
      </c>
      <c r="B19" s="44" t="n"/>
      <c r="C19" s="45" t="n"/>
      <c r="D19" s="45" t="n"/>
      <c r="E19" s="45" t="n"/>
      <c r="F19" s="45" t="n"/>
      <c r="G19" s="44" t="n"/>
      <c r="H19" s="46" t="n"/>
    </row>
    <row r="20" ht="18" customHeight="1">
      <c r="A20" s="43" t="inlineStr">
        <is>
          <t>DOF0015</t>
        </is>
      </c>
      <c r="B20" s="44" t="n"/>
      <c r="C20" s="45" t="n"/>
      <c r="D20" s="45" t="n"/>
      <c r="E20" s="45" t="n"/>
      <c r="F20" s="45" t="n"/>
      <c r="G20" s="44" t="n"/>
      <c r="H20" s="46" t="n"/>
    </row>
    <row r="21" ht="18" customHeight="1">
      <c r="A21" s="43" t="inlineStr">
        <is>
          <t>DOF0016</t>
        </is>
      </c>
      <c r="B21" s="44" t="n"/>
      <c r="C21" s="45" t="n"/>
      <c r="D21" s="45" t="n"/>
      <c r="E21" s="45" t="n"/>
      <c r="F21" s="45" t="n"/>
      <c r="G21" s="44" t="n"/>
      <c r="H21" s="46" t="n"/>
    </row>
    <row r="22" ht="18" customHeight="1">
      <c r="A22" s="43" t="inlineStr">
        <is>
          <t>DOF0017</t>
        </is>
      </c>
      <c r="B22" s="44" t="n"/>
      <c r="C22" s="45" t="n"/>
      <c r="D22" s="45" t="n"/>
      <c r="E22" s="45" t="n"/>
      <c r="F22" s="45" t="n"/>
      <c r="G22" s="44" t="n"/>
      <c r="H22" s="46" t="n"/>
    </row>
    <row r="23" ht="18" customHeight="1">
      <c r="A23" s="43" t="inlineStr">
        <is>
          <t>DOF0018</t>
        </is>
      </c>
      <c r="B23" s="44" t="n"/>
      <c r="C23" s="45" t="n"/>
      <c r="D23" s="45" t="n"/>
      <c r="E23" s="45" t="n"/>
      <c r="F23" s="45" t="n"/>
      <c r="G23" s="44" t="n"/>
      <c r="H23" s="46" t="n"/>
    </row>
    <row r="24" ht="18" customHeight="1">
      <c r="A24" s="43" t="inlineStr">
        <is>
          <t>DOF0019</t>
        </is>
      </c>
      <c r="B24" s="44" t="n"/>
      <c r="C24" s="45" t="n"/>
      <c r="D24" s="45" t="n"/>
      <c r="E24" s="45" t="n"/>
      <c r="F24" s="45" t="n"/>
      <c r="G24" s="44" t="n"/>
      <c r="H24" s="46" t="n"/>
    </row>
    <row r="25" ht="18" customHeight="1">
      <c r="A25" s="43" t="inlineStr">
        <is>
          <t>DOF0020</t>
        </is>
      </c>
      <c r="B25" s="44" t="n"/>
      <c r="C25" s="45" t="n"/>
      <c r="D25" s="45" t="n"/>
      <c r="E25" s="45" t="n"/>
      <c r="F25" s="45" t="n"/>
      <c r="G25" s="44" t="n"/>
      <c r="H25" s="46" t="n"/>
    </row>
    <row r="26" ht="18" customHeight="1">
      <c r="A26" s="43" t="inlineStr">
        <is>
          <t>DOF0021</t>
        </is>
      </c>
      <c r="B26" s="44" t="n"/>
      <c r="C26" s="45" t="n"/>
      <c r="D26" s="45" t="n"/>
      <c r="E26" s="45" t="n"/>
      <c r="F26" s="45" t="n"/>
      <c r="G26" s="44" t="n"/>
      <c r="H26" s="46" t="n"/>
    </row>
    <row r="27" ht="18" customHeight="1">
      <c r="A27" s="43" t="inlineStr">
        <is>
          <t>DOF0022</t>
        </is>
      </c>
      <c r="B27" s="44" t="n"/>
      <c r="C27" s="45" t="n"/>
      <c r="D27" s="45" t="n"/>
      <c r="E27" s="45" t="n"/>
      <c r="F27" s="45" t="n"/>
      <c r="G27" s="44" t="n"/>
      <c r="H27" s="46" t="n"/>
    </row>
    <row r="28" ht="18" customHeight="1">
      <c r="A28" s="43" t="inlineStr">
        <is>
          <t>DOF0023</t>
        </is>
      </c>
      <c r="B28" s="44" t="n"/>
      <c r="C28" s="45" t="n"/>
      <c r="D28" s="45" t="n"/>
      <c r="E28" s="45" t="n"/>
      <c r="F28" s="45" t="n"/>
      <c r="G28" s="44" t="n"/>
      <c r="H28" s="46" t="n"/>
    </row>
    <row r="29" ht="18" customHeight="1">
      <c r="A29" s="43" t="inlineStr">
        <is>
          <t>DOF0024</t>
        </is>
      </c>
      <c r="B29" s="44" t="n"/>
      <c r="C29" s="45" t="n"/>
      <c r="D29" s="45" t="n"/>
      <c r="E29" s="45" t="n"/>
      <c r="F29" s="45" t="n"/>
      <c r="G29" s="44" t="n"/>
      <c r="H29" s="46" t="n"/>
    </row>
    <row r="30" ht="18" customHeight="1">
      <c r="A30" s="43" t="inlineStr">
        <is>
          <t>DOF0025</t>
        </is>
      </c>
      <c r="B30" s="44" t="n"/>
      <c r="C30" s="45" t="n"/>
      <c r="D30" s="45" t="n"/>
      <c r="E30" s="45" t="n"/>
      <c r="F30" s="45" t="n"/>
      <c r="G30" s="44" t="n"/>
      <c r="H30" s="46" t="n"/>
    </row>
    <row r="31" ht="18" customHeight="1">
      <c r="A31" s="43" t="inlineStr">
        <is>
          <t>DOF0026</t>
        </is>
      </c>
      <c r="B31" s="44" t="n"/>
      <c r="C31" s="45" t="n"/>
      <c r="D31" s="45" t="n"/>
      <c r="E31" s="45" t="n"/>
      <c r="F31" s="45" t="n"/>
      <c r="G31" s="44" t="n"/>
      <c r="H31" s="46" t="n"/>
    </row>
    <row r="32" ht="18" customHeight="1">
      <c r="A32" s="43" t="inlineStr">
        <is>
          <t>DOF0027</t>
        </is>
      </c>
      <c r="B32" s="44" t="n"/>
      <c r="C32" s="45" t="n"/>
      <c r="D32" s="45" t="n"/>
      <c r="E32" s="45" t="n"/>
      <c r="F32" s="45" t="n"/>
      <c r="G32" s="44" t="n"/>
      <c r="H32" s="46" t="n"/>
    </row>
    <row r="33" ht="18" customHeight="1">
      <c r="A33" s="43" t="inlineStr">
        <is>
          <t>DOF0028</t>
        </is>
      </c>
      <c r="B33" s="44" t="n"/>
      <c r="C33" s="45" t="n"/>
      <c r="D33" s="45" t="n"/>
      <c r="E33" s="45" t="n"/>
      <c r="F33" s="45" t="n"/>
      <c r="G33" s="44" t="n"/>
      <c r="H33" s="46" t="n"/>
    </row>
    <row r="34" ht="18" customHeight="1">
      <c r="A34" s="43" t="inlineStr">
        <is>
          <t>DOF0029</t>
        </is>
      </c>
      <c r="B34" s="44" t="n"/>
      <c r="C34" s="45" t="n"/>
      <c r="D34" s="45" t="n"/>
      <c r="E34" s="45" t="n"/>
      <c r="F34" s="45" t="n"/>
      <c r="G34" s="44" t="n"/>
      <c r="H34" s="46" t="n"/>
    </row>
    <row r="35" ht="18" customHeight="1">
      <c r="A35" s="43" t="inlineStr">
        <is>
          <t>DOF0030</t>
        </is>
      </c>
      <c r="B35" s="44" t="n"/>
      <c r="C35" s="45" t="n"/>
      <c r="D35" s="45" t="n"/>
      <c r="E35" s="45" t="n"/>
      <c r="F35" s="45" t="n"/>
      <c r="G35" s="44" t="n"/>
      <c r="H35" s="46" t="n"/>
    </row>
  </sheetData>
  <autoFilter ref="A5:H35"/>
  <mergeCells count="3">
    <mergeCell ref="A4:H4"/>
    <mergeCell ref="A2:H2"/>
    <mergeCell ref="A1:H1"/>
  </mergeCells>
  <conditionalFormatting sqref="H6:H35">
    <cfRule type="cellIs" priority="1" operator="equal" dxfId="0">
      <formula>"OPEN"</formula>
    </cfRule>
    <cfRule type="cellIs" priority="2" operator="equal" dxfId="1">
      <formula>"IN PROGRESS"</formula>
    </cfRule>
    <cfRule type="cellIs" priority="3" operator="equal" dxfId="2">
      <formula>"CLOSED"</formula>
    </cfRule>
  </conditionalFormatting>
  <conditionalFormatting sqref="G6:G35">
    <cfRule type="cellIs" priority="4" operator="lessThan" dxfId="0">
      <formula>TODAY()</formula>
    </cfRule>
  </conditionalFormatting>
  <dataValidations count="1">
    <dataValidation sqref="H6:H35" showDropDown="0" showInputMessage="0" showErrorMessage="1" allowBlank="1" errorTitle="Invalid status" error="Choose OPEN, IN PROGRESS or CLOSED." type="list">
      <formula1>"OPEN,IN PROGRESS,CLOSED"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6F3F"/>
    <outlinePr summaryBelow="1" summaryRight="1"/>
    <pageSetUpPr fitToPage="1"/>
  </sheetPr>
  <dimension ref="A1:K1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3" customWidth="1" min="9" max="9"/>
    <col width="11" customWidth="1" min="10" max="10"/>
    <col width="9" customWidth="1" min="11" max="11"/>
  </cols>
  <sheetData>
    <row r="1" ht="34" customHeight="1">
      <c r="A1" s="28" t="inlineStr">
        <is>
          <t>ENVIRONMENTAL PERFORMANCE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29">
        <f>"WEEK "&amp;TEXT(Dashboard!$D$5,"00")&amp;"   •   "&amp;TEXT(Dashboard!$D$6,"[$-409]dd mmm yyyy")&amp;"  –  "&amp;TEXT(Dashboard!$D$7,"[$-409]dd mmm 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7" customHeight="1"/>
    <row r="4" ht="20" customHeight="1">
      <c r="A4" s="4" t="inlineStr">
        <is>
          <t>CONSUMPTION &amp; WASTE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 ht="30" customHeight="1">
      <c r="A5" s="30" t="inlineStr">
        <is>
          <t>PARAMETER</t>
        </is>
      </c>
      <c r="B5" s="31">
        <f>Dashboard!$D$6+0</f>
        <v/>
      </c>
      <c r="C5" s="31">
        <f>Dashboard!$D$6+1</f>
        <v/>
      </c>
      <c r="D5" s="31">
        <f>Dashboard!$D$6+2</f>
        <v/>
      </c>
      <c r="E5" s="31">
        <f>Dashboard!$D$6+3</f>
        <v/>
      </c>
      <c r="F5" s="31">
        <f>Dashboard!$D$6+4</f>
        <v/>
      </c>
      <c r="G5" s="31">
        <f>Dashboard!$D$6+5</f>
        <v/>
      </c>
      <c r="H5" s="31">
        <f>Dashboard!$D$6+6</f>
        <v/>
      </c>
      <c r="I5" s="32" t="inlineStr">
        <is>
          <t>WEEK
TOTAL</t>
        </is>
      </c>
      <c r="J5" s="32" t="inlineStr">
        <is>
          <t>YTD</t>
        </is>
      </c>
      <c r="K5" s="47" t="inlineStr">
        <is>
          <t>UNIT</t>
        </is>
      </c>
    </row>
    <row r="6" ht="17" customHeight="1">
      <c r="A6" s="33" t="inlineStr">
        <is>
          <t>Water Consumption</t>
        </is>
      </c>
      <c r="B6" s="34" t="n"/>
      <c r="C6" s="34" t="n"/>
      <c r="D6" s="34" t="n"/>
      <c r="E6" s="34" t="n"/>
      <c r="F6" s="34" t="n"/>
      <c r="G6" s="34" t="n"/>
      <c r="H6" s="34" t="n"/>
      <c r="I6" s="35">
        <f>SUM(B6:H6)</f>
        <v/>
      </c>
      <c r="J6" s="34" t="n"/>
      <c r="K6" s="48" t="inlineStr">
        <is>
          <t>m³</t>
        </is>
      </c>
    </row>
    <row r="7" ht="17" customHeight="1">
      <c r="A7" s="36" t="inlineStr">
        <is>
          <t>Electricity Consumption</t>
        </is>
      </c>
      <c r="B7" s="34" t="n"/>
      <c r="C7" s="34" t="n"/>
      <c r="D7" s="34" t="n"/>
      <c r="E7" s="34" t="n"/>
      <c r="F7" s="34" t="n"/>
      <c r="G7" s="34" t="n"/>
      <c r="H7" s="34" t="n"/>
      <c r="I7" s="35">
        <f>SUM(B7:H7)</f>
        <v/>
      </c>
      <c r="J7" s="34" t="n"/>
      <c r="K7" s="48" t="inlineStr">
        <is>
          <t>kWh</t>
        </is>
      </c>
    </row>
    <row r="8" ht="17" customHeight="1">
      <c r="A8" s="33" t="inlineStr">
        <is>
          <t>Domestic Waste</t>
        </is>
      </c>
      <c r="B8" s="34" t="n"/>
      <c r="C8" s="34" t="n"/>
      <c r="D8" s="34" t="n"/>
      <c r="E8" s="34" t="n"/>
      <c r="F8" s="34" t="n"/>
      <c r="G8" s="34" t="n"/>
      <c r="H8" s="34" t="n"/>
      <c r="I8" s="35">
        <f>SUM(B8:H8)</f>
        <v/>
      </c>
      <c r="J8" s="34" t="n"/>
      <c r="K8" s="48" t="inlineStr">
        <is>
          <t>kg</t>
        </is>
      </c>
    </row>
    <row r="9" ht="17" customHeight="1">
      <c r="A9" s="36" t="inlineStr">
        <is>
          <t>Plastic Waste</t>
        </is>
      </c>
      <c r="B9" s="34" t="n"/>
      <c r="C9" s="34" t="n"/>
      <c r="D9" s="34" t="n"/>
      <c r="E9" s="34" t="n"/>
      <c r="F9" s="34" t="n"/>
      <c r="G9" s="34" t="n"/>
      <c r="H9" s="34" t="n"/>
      <c r="I9" s="35">
        <f>SUM(B9:H9)</f>
        <v/>
      </c>
      <c r="J9" s="34" t="n"/>
      <c r="K9" s="48" t="inlineStr">
        <is>
          <t>kg</t>
        </is>
      </c>
    </row>
    <row r="10" ht="17" customHeight="1">
      <c r="A10" s="33" t="inlineStr">
        <is>
          <t>Metal Waste</t>
        </is>
      </c>
      <c r="B10" s="34" t="n"/>
      <c r="C10" s="34" t="n"/>
      <c r="D10" s="34" t="n"/>
      <c r="E10" s="34" t="n"/>
      <c r="F10" s="34" t="n"/>
      <c r="G10" s="34" t="n"/>
      <c r="H10" s="34" t="n"/>
      <c r="I10" s="35">
        <f>SUM(B10:H10)</f>
        <v/>
      </c>
      <c r="J10" s="34" t="n"/>
      <c r="K10" s="48" t="inlineStr">
        <is>
          <t>kg</t>
        </is>
      </c>
    </row>
    <row r="11" ht="17" customHeight="1">
      <c r="A11" s="36" t="inlineStr">
        <is>
          <t>Paper Waste</t>
        </is>
      </c>
      <c r="B11" s="34" t="n"/>
      <c r="C11" s="34" t="n"/>
      <c r="D11" s="34" t="n"/>
      <c r="E11" s="34" t="n"/>
      <c r="F11" s="34" t="n"/>
      <c r="G11" s="34" t="n"/>
      <c r="H11" s="34" t="n"/>
      <c r="I11" s="35">
        <f>SUM(B11:H11)</f>
        <v/>
      </c>
      <c r="J11" s="34" t="n"/>
      <c r="K11" s="48" t="inlineStr">
        <is>
          <t>kg</t>
        </is>
      </c>
    </row>
    <row r="12" ht="17" customHeight="1">
      <c r="A12" s="33" t="inlineStr">
        <is>
          <t>Glass Waste</t>
        </is>
      </c>
      <c r="B12" s="34" t="n"/>
      <c r="C12" s="34" t="n"/>
      <c r="D12" s="34" t="n"/>
      <c r="E12" s="34" t="n"/>
      <c r="F12" s="34" t="n"/>
      <c r="G12" s="34" t="n"/>
      <c r="H12" s="34" t="n"/>
      <c r="I12" s="35">
        <f>SUM(B12:H12)</f>
        <v/>
      </c>
      <c r="J12" s="34" t="n"/>
      <c r="K12" s="48" t="inlineStr">
        <is>
          <t>kg</t>
        </is>
      </c>
    </row>
    <row r="13" ht="17" customHeight="1">
      <c r="A13" s="36" t="inlineStr">
        <is>
          <t>Hazardous Waste</t>
        </is>
      </c>
      <c r="B13" s="34" t="n"/>
      <c r="C13" s="34" t="n"/>
      <c r="D13" s="34" t="n"/>
      <c r="E13" s="34" t="n"/>
      <c r="F13" s="34" t="n"/>
      <c r="G13" s="34" t="n"/>
      <c r="H13" s="34" t="n"/>
      <c r="I13" s="35">
        <f>SUM(B13:H13)</f>
        <v/>
      </c>
      <c r="J13" s="34" t="n"/>
      <c r="K13" s="48" t="inlineStr">
        <is>
          <t>kg</t>
        </is>
      </c>
    </row>
    <row r="15" ht="14" customHeight="1">
      <c r="A15" s="27" t="inlineStr">
        <is>
          <t>Legend:</t>
        </is>
      </c>
      <c r="B15" s="9" t="n"/>
      <c r="C15" s="27" t="inlineStr">
        <is>
          <t>manual input</t>
        </is>
      </c>
      <c r="E15" s="7" t="n"/>
      <c r="F15" s="27" t="inlineStr">
        <is>
          <t>calculated — do not type</t>
        </is>
      </c>
    </row>
  </sheetData>
  <mergeCells count="3">
    <mergeCell ref="A2:K2"/>
    <mergeCell ref="A1:K1"/>
    <mergeCell ref="A4:K4"/>
  </mergeCell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2026-09-07T16:59:13Z</dcterms:created>
  <dcterms:modified xsi:type="dcterms:W3CDTF">2026-09-07T16:59:13Z</dcterms:modified>
</cp:coreProperties>
</file>