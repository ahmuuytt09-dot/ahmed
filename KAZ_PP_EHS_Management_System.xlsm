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56db90409307eee/Desktop/"/>
    </mc:Choice>
  </mc:AlternateContent>
  <xr:revisionPtr revIDLastSave="2" documentId="8_{22957CD2-0CAF-4068-AB55-6FBD319F2A67}" xr6:coauthVersionLast="47" xr6:coauthVersionMax="47" xr10:uidLastSave="{919D475D-8743-4668-B085-1E143F437841}"/>
  <bookViews>
    <workbookView xWindow="-108" yWindow="-108" windowWidth="23256" windowHeight="13896" activeTab="1" xr2:uid="{00000000-000D-0000-FFFF-FFFF00000000}"/>
  </bookViews>
  <sheets>
    <sheet name="Cover" sheetId="1" r:id="rId1"/>
    <sheet name="Dashboard" sheetId="2" r:id="rId2"/>
    <sheet name="Lookups" sheetId="3" r:id="rId3"/>
    <sheet name="Admin" sheetId="4" r:id="rId4"/>
    <sheet name="ManHours" sheetId="5" r:id="rId5"/>
    <sheet name="Incidents" sheetId="6" r:id="rId6"/>
    <sheet name="Observations" sheetId="7" r:id="rId7"/>
    <sheet name="NCR" sheetId="8" r:id="rId8"/>
    <sheet name="Scorecard" sheetId="9" r:id="rId9"/>
    <sheet name="CAPA_AI" sheetId="10" r:id="rId10"/>
    <sheet name="Training" sheetId="11" r:id="rId11"/>
    <sheet name="Equipment" sheetId="12" r:id="rId12"/>
    <sheet name="Documents" sheetId="13" r:id="rId13"/>
  </sheets>
  <externalReferences>
    <externalReference r:id="rId14"/>
    <externalReference r:id="rId15"/>
  </externalReferences>
  <definedNames>
    <definedName name="AdminPassword">Cover!$C$14</definedName>
    <definedName name="LTIFR">Dashboard!$E$7</definedName>
    <definedName name="_xlnm.Print_Titles" localSheetId="3">Admin!$1:$4</definedName>
    <definedName name="_xlnm.Print_Titles" localSheetId="9">CAPA_AI!$1:$4</definedName>
    <definedName name="_xlnm.Print_Titles" localSheetId="0">Cover!$1:$4</definedName>
    <definedName name="_xlnm.Print_Titles" localSheetId="1">Dashboard!$1:$4</definedName>
    <definedName name="_xlnm.Print_Titles" localSheetId="12">Documents!$1:$4</definedName>
    <definedName name="_xlnm.Print_Titles" localSheetId="11">Equipment!$1:$4</definedName>
    <definedName name="_xlnm.Print_Titles" localSheetId="5">Incidents!$1:$4</definedName>
    <definedName name="_xlnm.Print_Titles" localSheetId="2">Lookups!$1:$4</definedName>
    <definedName name="_xlnm.Print_Titles" localSheetId="4">ManHours!$1:$4</definedName>
    <definedName name="_xlnm.Print_Titles" localSheetId="7">NCR!$1:$4</definedName>
    <definedName name="_xlnm.Print_Titles" localSheetId="6">Observations!$1:$4</definedName>
    <definedName name="_xlnm.Print_Titles" localSheetId="8">Scorecard!$1:$4</definedName>
    <definedName name="_xlnm.Print_Titles" localSheetId="10">Training!$1:$4</definedName>
    <definedName name="TotalManHours">ManHours!$I$5</definedName>
    <definedName name="TRIFR">Dashboard!$G$7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9" i="12" l="1"/>
  <c r="L59" i="12"/>
  <c r="I59" i="12"/>
  <c r="M58" i="12"/>
  <c r="L58" i="12"/>
  <c r="I58" i="12"/>
  <c r="M57" i="12"/>
  <c r="L57" i="12"/>
  <c r="I57" i="12"/>
  <c r="M56" i="12"/>
  <c r="L56" i="12"/>
  <c r="I56" i="12"/>
  <c r="M55" i="12"/>
  <c r="L55" i="12"/>
  <c r="I55" i="12"/>
  <c r="M54" i="12"/>
  <c r="L54" i="12"/>
  <c r="I54" i="12"/>
  <c r="M53" i="12"/>
  <c r="L53" i="12"/>
  <c r="I53" i="12"/>
  <c r="M52" i="12"/>
  <c r="L52" i="12"/>
  <c r="I52" i="12"/>
  <c r="M51" i="12"/>
  <c r="L51" i="12"/>
  <c r="I51" i="12"/>
  <c r="M50" i="12"/>
  <c r="L50" i="12"/>
  <c r="I50" i="12"/>
  <c r="M49" i="12"/>
  <c r="L49" i="12"/>
  <c r="I49" i="12"/>
  <c r="M48" i="12"/>
  <c r="L48" i="12"/>
  <c r="I48" i="12"/>
  <c r="M47" i="12"/>
  <c r="L47" i="12"/>
  <c r="I47" i="12"/>
  <c r="M46" i="12"/>
  <c r="L46" i="12"/>
  <c r="I46" i="12"/>
  <c r="M45" i="12"/>
  <c r="L45" i="12"/>
  <c r="I45" i="12"/>
  <c r="M44" i="12"/>
  <c r="L44" i="12"/>
  <c r="I44" i="12"/>
  <c r="M43" i="12"/>
  <c r="L43" i="12"/>
  <c r="I43" i="12"/>
  <c r="M42" i="12"/>
  <c r="L42" i="12"/>
  <c r="I42" i="12"/>
  <c r="M41" i="12"/>
  <c r="L41" i="12"/>
  <c r="I41" i="12"/>
  <c r="M40" i="12"/>
  <c r="L40" i="12"/>
  <c r="I40" i="12"/>
  <c r="M39" i="12"/>
  <c r="L39" i="12"/>
  <c r="I39" i="12"/>
  <c r="M38" i="12"/>
  <c r="L38" i="12"/>
  <c r="I38" i="12"/>
  <c r="M37" i="12"/>
  <c r="L37" i="12"/>
  <c r="I37" i="12"/>
  <c r="M36" i="12"/>
  <c r="L36" i="12"/>
  <c r="I36" i="12"/>
  <c r="M35" i="12"/>
  <c r="L35" i="12"/>
  <c r="I35" i="12"/>
  <c r="M34" i="12"/>
  <c r="L34" i="12"/>
  <c r="I34" i="12"/>
  <c r="M33" i="12"/>
  <c r="L33" i="12"/>
  <c r="I33" i="12"/>
  <c r="M32" i="12"/>
  <c r="L32" i="12"/>
  <c r="I32" i="12"/>
  <c r="M31" i="12"/>
  <c r="L31" i="12"/>
  <c r="I31" i="12"/>
  <c r="M30" i="12"/>
  <c r="L30" i="12"/>
  <c r="I30" i="12"/>
  <c r="M29" i="12"/>
  <c r="L29" i="12"/>
  <c r="I29" i="12"/>
  <c r="M28" i="12"/>
  <c r="L28" i="12"/>
  <c r="I28" i="12"/>
  <c r="M27" i="12"/>
  <c r="L27" i="12"/>
  <c r="I27" i="12"/>
  <c r="M26" i="12"/>
  <c r="L26" i="12"/>
  <c r="I26" i="12"/>
  <c r="M25" i="12"/>
  <c r="L25" i="12"/>
  <c r="I25" i="12"/>
  <c r="M24" i="12"/>
  <c r="L24" i="12"/>
  <c r="I24" i="12"/>
  <c r="M23" i="12"/>
  <c r="L23" i="12"/>
  <c r="I23" i="12"/>
  <c r="M22" i="12"/>
  <c r="L22" i="12"/>
  <c r="I22" i="12"/>
  <c r="M21" i="12"/>
  <c r="L21" i="12"/>
  <c r="I21" i="12"/>
  <c r="M20" i="12"/>
  <c r="L20" i="12"/>
  <c r="I20" i="12"/>
  <c r="M19" i="12"/>
  <c r="L19" i="12"/>
  <c r="I19" i="12"/>
  <c r="M18" i="12"/>
  <c r="L18" i="12"/>
  <c r="I18" i="12"/>
  <c r="M17" i="12"/>
  <c r="L17" i="12"/>
  <c r="I17" i="12"/>
  <c r="M16" i="12"/>
  <c r="L16" i="12"/>
  <c r="I16" i="12"/>
  <c r="M15" i="12"/>
  <c r="L15" i="12"/>
  <c r="I15" i="12"/>
  <c r="M14" i="12"/>
  <c r="L14" i="12"/>
  <c r="I14" i="12"/>
  <c r="M13" i="12"/>
  <c r="L13" i="12"/>
  <c r="I13" i="12"/>
  <c r="M12" i="12"/>
  <c r="L12" i="12"/>
  <c r="I12" i="12"/>
  <c r="M11" i="12"/>
  <c r="L11" i="12"/>
  <c r="I11" i="12"/>
  <c r="M10" i="12"/>
  <c r="L10" i="12"/>
  <c r="I10" i="12"/>
  <c r="L9" i="12"/>
  <c r="I9" i="12"/>
  <c r="M9" i="12" s="1"/>
  <c r="L8" i="12"/>
  <c r="I8" i="12"/>
  <c r="L7" i="12"/>
  <c r="I7" i="12"/>
  <c r="M7" i="12" s="1"/>
  <c r="L6" i="12"/>
  <c r="I6" i="12"/>
  <c r="L5" i="12"/>
  <c r="I5" i="12"/>
  <c r="M79" i="11"/>
  <c r="K79" i="11"/>
  <c r="J79" i="11"/>
  <c r="M78" i="11"/>
  <c r="K78" i="11"/>
  <c r="J78" i="11"/>
  <c r="M77" i="11"/>
  <c r="K77" i="11"/>
  <c r="J77" i="11"/>
  <c r="M76" i="11"/>
  <c r="K76" i="11"/>
  <c r="J76" i="11"/>
  <c r="M75" i="11"/>
  <c r="K75" i="11"/>
  <c r="J75" i="11"/>
  <c r="M74" i="11"/>
  <c r="K74" i="11"/>
  <c r="J74" i="11"/>
  <c r="M73" i="11"/>
  <c r="K73" i="11"/>
  <c r="J73" i="11"/>
  <c r="M72" i="11"/>
  <c r="K72" i="11"/>
  <c r="J72" i="11"/>
  <c r="M71" i="11"/>
  <c r="K71" i="11"/>
  <c r="J71" i="11"/>
  <c r="M70" i="11"/>
  <c r="K70" i="11"/>
  <c r="J70" i="11"/>
  <c r="M69" i="11"/>
  <c r="K69" i="11"/>
  <c r="J69" i="11"/>
  <c r="M68" i="11"/>
  <c r="K68" i="11"/>
  <c r="J68" i="11"/>
  <c r="M67" i="11"/>
  <c r="K67" i="11"/>
  <c r="J67" i="11"/>
  <c r="M66" i="11"/>
  <c r="K66" i="11"/>
  <c r="J66" i="11"/>
  <c r="M65" i="11"/>
  <c r="K65" i="11"/>
  <c r="J65" i="11"/>
  <c r="M64" i="11"/>
  <c r="K64" i="11"/>
  <c r="J64" i="11"/>
  <c r="M63" i="11"/>
  <c r="K63" i="11"/>
  <c r="J63" i="11"/>
  <c r="M62" i="11"/>
  <c r="K62" i="11"/>
  <c r="J62" i="11"/>
  <c r="M61" i="11"/>
  <c r="K61" i="11"/>
  <c r="J61" i="11"/>
  <c r="M60" i="11"/>
  <c r="K60" i="11"/>
  <c r="J60" i="11"/>
  <c r="M59" i="11"/>
  <c r="K59" i="11"/>
  <c r="J59" i="11"/>
  <c r="M58" i="11"/>
  <c r="K58" i="11"/>
  <c r="J58" i="11"/>
  <c r="M57" i="11"/>
  <c r="K57" i="11"/>
  <c r="J57" i="11"/>
  <c r="M56" i="11"/>
  <c r="K56" i="11"/>
  <c r="J56" i="11"/>
  <c r="M55" i="11"/>
  <c r="K55" i="11"/>
  <c r="J55" i="11"/>
  <c r="M54" i="11"/>
  <c r="K54" i="11"/>
  <c r="J54" i="11"/>
  <c r="M53" i="11"/>
  <c r="K53" i="11"/>
  <c r="J53" i="11"/>
  <c r="M52" i="11"/>
  <c r="K52" i="11"/>
  <c r="J52" i="11"/>
  <c r="M51" i="11"/>
  <c r="K51" i="11"/>
  <c r="J51" i="11"/>
  <c r="M50" i="11"/>
  <c r="K50" i="11"/>
  <c r="J50" i="11"/>
  <c r="M49" i="11"/>
  <c r="K49" i="11"/>
  <c r="J49" i="11"/>
  <c r="M48" i="11"/>
  <c r="K48" i="11"/>
  <c r="J48" i="11"/>
  <c r="M47" i="11"/>
  <c r="K47" i="11"/>
  <c r="J47" i="11"/>
  <c r="M46" i="11"/>
  <c r="K46" i="11"/>
  <c r="J46" i="11"/>
  <c r="M45" i="11"/>
  <c r="K45" i="11"/>
  <c r="J45" i="11"/>
  <c r="M44" i="11"/>
  <c r="K44" i="11"/>
  <c r="J44" i="11"/>
  <c r="M43" i="11"/>
  <c r="K43" i="11"/>
  <c r="J43" i="11"/>
  <c r="M42" i="11"/>
  <c r="K42" i="11"/>
  <c r="J42" i="11"/>
  <c r="M41" i="11"/>
  <c r="K41" i="11"/>
  <c r="J41" i="11"/>
  <c r="M40" i="11"/>
  <c r="K40" i="11"/>
  <c r="J40" i="11"/>
  <c r="M39" i="11"/>
  <c r="K39" i="11"/>
  <c r="J39" i="11"/>
  <c r="M38" i="11"/>
  <c r="K38" i="11"/>
  <c r="J38" i="11"/>
  <c r="M37" i="11"/>
  <c r="K37" i="11"/>
  <c r="J37" i="11"/>
  <c r="M36" i="11"/>
  <c r="K36" i="11"/>
  <c r="J36" i="11"/>
  <c r="M35" i="11"/>
  <c r="K35" i="11"/>
  <c r="J35" i="11"/>
  <c r="M34" i="11"/>
  <c r="K34" i="11"/>
  <c r="J34" i="11"/>
  <c r="M33" i="11"/>
  <c r="K33" i="11"/>
  <c r="J33" i="11"/>
  <c r="M32" i="11"/>
  <c r="K32" i="11"/>
  <c r="J32" i="11"/>
  <c r="M31" i="11"/>
  <c r="K31" i="11"/>
  <c r="J31" i="11"/>
  <c r="M30" i="11"/>
  <c r="K30" i="11"/>
  <c r="J30" i="11"/>
  <c r="M29" i="11"/>
  <c r="K29" i="11"/>
  <c r="J29" i="11"/>
  <c r="M28" i="11"/>
  <c r="K28" i="11"/>
  <c r="J28" i="11"/>
  <c r="M27" i="11"/>
  <c r="K27" i="11"/>
  <c r="J27" i="11"/>
  <c r="M26" i="11"/>
  <c r="K26" i="11"/>
  <c r="J26" i="11"/>
  <c r="M25" i="11"/>
  <c r="K25" i="11"/>
  <c r="J25" i="11"/>
  <c r="M24" i="11"/>
  <c r="K24" i="11"/>
  <c r="J24" i="11"/>
  <c r="M23" i="11"/>
  <c r="K23" i="11"/>
  <c r="J23" i="11"/>
  <c r="M22" i="11"/>
  <c r="K22" i="11"/>
  <c r="J22" i="11"/>
  <c r="M21" i="11"/>
  <c r="K21" i="11"/>
  <c r="J21" i="11"/>
  <c r="M20" i="11"/>
  <c r="K20" i="11"/>
  <c r="J20" i="11"/>
  <c r="M19" i="11"/>
  <c r="K19" i="11"/>
  <c r="J19" i="11"/>
  <c r="M18" i="11"/>
  <c r="K18" i="11"/>
  <c r="J18" i="11"/>
  <c r="M17" i="11"/>
  <c r="K17" i="11"/>
  <c r="J17" i="11"/>
  <c r="M16" i="11"/>
  <c r="K16" i="11"/>
  <c r="J16" i="11"/>
  <c r="M15" i="11"/>
  <c r="K15" i="11"/>
  <c r="J15" i="11"/>
  <c r="M14" i="11"/>
  <c r="K14" i="11"/>
  <c r="J14" i="11"/>
  <c r="M13" i="11"/>
  <c r="K13" i="11"/>
  <c r="J13" i="11"/>
  <c r="M12" i="11"/>
  <c r="J12" i="11"/>
  <c r="K12" i="11" s="1"/>
  <c r="M11" i="11"/>
  <c r="J11" i="11"/>
  <c r="K11" i="11" s="1"/>
  <c r="M10" i="11"/>
  <c r="J10" i="11"/>
  <c r="K10" i="11" s="1"/>
  <c r="M9" i="11"/>
  <c r="J9" i="11"/>
  <c r="K9" i="11" s="1"/>
  <c r="M8" i="11"/>
  <c r="J8" i="11"/>
  <c r="K8" i="11" s="1"/>
  <c r="M7" i="11"/>
  <c r="J7" i="11"/>
  <c r="K7" i="11" s="1"/>
  <c r="M6" i="11"/>
  <c r="J6" i="11"/>
  <c r="K6" i="11" s="1"/>
  <c r="M5" i="11"/>
  <c r="J5" i="11"/>
  <c r="K5" i="11" s="1"/>
  <c r="G39" i="10"/>
  <c r="E39" i="10"/>
  <c r="D39" i="10"/>
  <c r="G38" i="10"/>
  <c r="E38" i="10"/>
  <c r="D38" i="10"/>
  <c r="G37" i="10"/>
  <c r="E37" i="10"/>
  <c r="D37" i="10"/>
  <c r="G36" i="10"/>
  <c r="E36" i="10"/>
  <c r="D36" i="10"/>
  <c r="G35" i="10"/>
  <c r="E35" i="10"/>
  <c r="D35" i="10"/>
  <c r="G34" i="10"/>
  <c r="E34" i="10"/>
  <c r="D34" i="10"/>
  <c r="G33" i="10"/>
  <c r="E33" i="10"/>
  <c r="D33" i="10"/>
  <c r="G32" i="10"/>
  <c r="E32" i="10"/>
  <c r="D32" i="10"/>
  <c r="G31" i="10"/>
  <c r="E31" i="10"/>
  <c r="D31" i="10"/>
  <c r="G30" i="10"/>
  <c r="E30" i="10"/>
  <c r="D30" i="10"/>
  <c r="G29" i="10"/>
  <c r="E29" i="10"/>
  <c r="D29" i="10"/>
  <c r="G28" i="10"/>
  <c r="E28" i="10"/>
  <c r="D28" i="10"/>
  <c r="G27" i="10"/>
  <c r="E27" i="10"/>
  <c r="D27" i="10"/>
  <c r="G26" i="10"/>
  <c r="E26" i="10"/>
  <c r="D26" i="10"/>
  <c r="G25" i="10"/>
  <c r="E25" i="10"/>
  <c r="D25" i="10"/>
  <c r="G24" i="10"/>
  <c r="E24" i="10"/>
  <c r="D24" i="10"/>
  <c r="G23" i="10"/>
  <c r="E23" i="10"/>
  <c r="D23" i="10"/>
  <c r="G22" i="10"/>
  <c r="E22" i="10"/>
  <c r="D22" i="10"/>
  <c r="G21" i="10"/>
  <c r="E21" i="10"/>
  <c r="D21" i="10"/>
  <c r="G20" i="10"/>
  <c r="E20" i="10"/>
  <c r="D20" i="10"/>
  <c r="G19" i="10"/>
  <c r="E19" i="10"/>
  <c r="D19" i="10"/>
  <c r="G18" i="10"/>
  <c r="E18" i="10"/>
  <c r="D18" i="10"/>
  <c r="G17" i="10"/>
  <c r="E17" i="10"/>
  <c r="D17" i="10"/>
  <c r="G16" i="10"/>
  <c r="E16" i="10"/>
  <c r="D16" i="10"/>
  <c r="G15" i="10"/>
  <c r="E15" i="10"/>
  <c r="D15" i="10"/>
  <c r="G14" i="10"/>
  <c r="E14" i="10"/>
  <c r="G13" i="10"/>
  <c r="E13" i="10"/>
  <c r="G12" i="10"/>
  <c r="E12" i="10"/>
  <c r="G11" i="10"/>
  <c r="E11" i="10"/>
  <c r="G10" i="10"/>
  <c r="E10" i="10"/>
  <c r="B12" i="9"/>
  <c r="J11" i="9"/>
  <c r="I11" i="9"/>
  <c r="G11" i="9"/>
  <c r="F11" i="9"/>
  <c r="E11" i="9"/>
  <c r="B11" i="9"/>
  <c r="H11" i="9" s="1"/>
  <c r="J10" i="9"/>
  <c r="I10" i="9"/>
  <c r="C10" i="9"/>
  <c r="B10" i="9"/>
  <c r="B9" i="9"/>
  <c r="J8" i="9"/>
  <c r="I8" i="9"/>
  <c r="F8" i="9"/>
  <c r="E8" i="9"/>
  <c r="B8" i="9"/>
  <c r="J7" i="9"/>
  <c r="I7" i="9"/>
  <c r="G7" i="9"/>
  <c r="C7" i="9"/>
  <c r="B7" i="9"/>
  <c r="H7" i="9" s="1"/>
  <c r="J6" i="9"/>
  <c r="B6" i="9"/>
  <c r="J5" i="9"/>
  <c r="I5" i="9"/>
  <c r="F5" i="9"/>
  <c r="E5" i="9"/>
  <c r="B5" i="9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R4" i="8"/>
  <c r="T249" i="7"/>
  <c r="Q249" i="7"/>
  <c r="P249" i="7"/>
  <c r="O249" i="7"/>
  <c r="T248" i="7"/>
  <c r="P248" i="7"/>
  <c r="Q248" i="7" s="1"/>
  <c r="O248" i="7"/>
  <c r="T247" i="7"/>
  <c r="P247" i="7"/>
  <c r="Q247" i="7" s="1"/>
  <c r="O247" i="7"/>
  <c r="T246" i="7"/>
  <c r="P246" i="7"/>
  <c r="Q246" i="7" s="1"/>
  <c r="O246" i="7"/>
  <c r="T245" i="7"/>
  <c r="P245" i="7"/>
  <c r="Q245" i="7" s="1"/>
  <c r="O245" i="7"/>
  <c r="T244" i="7"/>
  <c r="P244" i="7"/>
  <c r="Q244" i="7" s="1"/>
  <c r="O244" i="7"/>
  <c r="T243" i="7"/>
  <c r="P243" i="7"/>
  <c r="Q243" i="7" s="1"/>
  <c r="O243" i="7"/>
  <c r="T242" i="7"/>
  <c r="P242" i="7"/>
  <c r="Q242" i="7" s="1"/>
  <c r="O242" i="7"/>
  <c r="T241" i="7"/>
  <c r="Q241" i="7"/>
  <c r="P241" i="7"/>
  <c r="O241" i="7"/>
  <c r="T240" i="7"/>
  <c r="P240" i="7"/>
  <c r="Q240" i="7" s="1"/>
  <c r="O240" i="7"/>
  <c r="T239" i="7"/>
  <c r="P239" i="7"/>
  <c r="Q239" i="7" s="1"/>
  <c r="O239" i="7"/>
  <c r="T238" i="7"/>
  <c r="P238" i="7"/>
  <c r="Q238" i="7" s="1"/>
  <c r="O238" i="7"/>
  <c r="T237" i="7"/>
  <c r="P237" i="7"/>
  <c r="Q237" i="7" s="1"/>
  <c r="O237" i="7"/>
  <c r="T236" i="7"/>
  <c r="P236" i="7"/>
  <c r="Q236" i="7" s="1"/>
  <c r="O236" i="7"/>
  <c r="T235" i="7"/>
  <c r="P235" i="7"/>
  <c r="Q235" i="7" s="1"/>
  <c r="O235" i="7"/>
  <c r="T234" i="7"/>
  <c r="P234" i="7"/>
  <c r="Q234" i="7" s="1"/>
  <c r="O234" i="7"/>
  <c r="T233" i="7"/>
  <c r="Q233" i="7"/>
  <c r="P233" i="7"/>
  <c r="O233" i="7"/>
  <c r="T232" i="7"/>
  <c r="P232" i="7"/>
  <c r="Q232" i="7" s="1"/>
  <c r="O232" i="7"/>
  <c r="T231" i="7"/>
  <c r="P231" i="7"/>
  <c r="Q231" i="7" s="1"/>
  <c r="O231" i="7"/>
  <c r="T230" i="7"/>
  <c r="P230" i="7"/>
  <c r="Q230" i="7" s="1"/>
  <c r="O230" i="7"/>
  <c r="T229" i="7"/>
  <c r="P229" i="7"/>
  <c r="Q229" i="7" s="1"/>
  <c r="O229" i="7"/>
  <c r="T228" i="7"/>
  <c r="P228" i="7"/>
  <c r="Q228" i="7" s="1"/>
  <c r="O228" i="7"/>
  <c r="T227" i="7"/>
  <c r="P227" i="7"/>
  <c r="Q227" i="7" s="1"/>
  <c r="O227" i="7"/>
  <c r="T226" i="7"/>
  <c r="P226" i="7"/>
  <c r="Q226" i="7" s="1"/>
  <c r="O226" i="7"/>
  <c r="T225" i="7"/>
  <c r="Q225" i="7"/>
  <c r="P225" i="7"/>
  <c r="O225" i="7"/>
  <c r="T224" i="7"/>
  <c r="P224" i="7"/>
  <c r="Q224" i="7" s="1"/>
  <c r="O224" i="7"/>
  <c r="T223" i="7"/>
  <c r="P223" i="7"/>
  <c r="Q223" i="7" s="1"/>
  <c r="O223" i="7"/>
  <c r="T222" i="7"/>
  <c r="P222" i="7"/>
  <c r="Q222" i="7" s="1"/>
  <c r="O222" i="7"/>
  <c r="T221" i="7"/>
  <c r="P221" i="7"/>
  <c r="Q221" i="7" s="1"/>
  <c r="O221" i="7"/>
  <c r="T220" i="7"/>
  <c r="P220" i="7"/>
  <c r="Q220" i="7" s="1"/>
  <c r="O220" i="7"/>
  <c r="T219" i="7"/>
  <c r="P219" i="7"/>
  <c r="Q219" i="7" s="1"/>
  <c r="O219" i="7"/>
  <c r="T218" i="7"/>
  <c r="P218" i="7"/>
  <c r="Q218" i="7" s="1"/>
  <c r="O218" i="7"/>
  <c r="T217" i="7"/>
  <c r="Q217" i="7"/>
  <c r="P217" i="7"/>
  <c r="O217" i="7"/>
  <c r="T216" i="7"/>
  <c r="P216" i="7"/>
  <c r="Q216" i="7" s="1"/>
  <c r="O216" i="7"/>
  <c r="T215" i="7"/>
  <c r="P215" i="7"/>
  <c r="Q215" i="7" s="1"/>
  <c r="O215" i="7"/>
  <c r="T214" i="7"/>
  <c r="P214" i="7"/>
  <c r="Q214" i="7" s="1"/>
  <c r="O214" i="7"/>
  <c r="T213" i="7"/>
  <c r="P213" i="7"/>
  <c r="Q213" i="7" s="1"/>
  <c r="O213" i="7"/>
  <c r="T212" i="7"/>
  <c r="P212" i="7"/>
  <c r="Q212" i="7" s="1"/>
  <c r="O212" i="7"/>
  <c r="T211" i="7"/>
  <c r="P211" i="7"/>
  <c r="Q211" i="7" s="1"/>
  <c r="O211" i="7"/>
  <c r="T210" i="7"/>
  <c r="P210" i="7"/>
  <c r="Q210" i="7" s="1"/>
  <c r="O210" i="7"/>
  <c r="T209" i="7"/>
  <c r="Q209" i="7"/>
  <c r="P209" i="7"/>
  <c r="O209" i="7"/>
  <c r="T208" i="7"/>
  <c r="P208" i="7"/>
  <c r="Q208" i="7" s="1"/>
  <c r="O208" i="7"/>
  <c r="T207" i="7"/>
  <c r="P207" i="7"/>
  <c r="Q207" i="7" s="1"/>
  <c r="O207" i="7"/>
  <c r="T206" i="7"/>
  <c r="P206" i="7"/>
  <c r="Q206" i="7" s="1"/>
  <c r="O206" i="7"/>
  <c r="T205" i="7"/>
  <c r="P205" i="7"/>
  <c r="Q205" i="7" s="1"/>
  <c r="O205" i="7"/>
  <c r="T204" i="7"/>
  <c r="P204" i="7"/>
  <c r="Q204" i="7" s="1"/>
  <c r="O204" i="7"/>
  <c r="T203" i="7"/>
  <c r="P203" i="7"/>
  <c r="Q203" i="7" s="1"/>
  <c r="O203" i="7"/>
  <c r="T202" i="7"/>
  <c r="P202" i="7"/>
  <c r="Q202" i="7" s="1"/>
  <c r="O202" i="7"/>
  <c r="T201" i="7"/>
  <c r="Q201" i="7"/>
  <c r="P201" i="7"/>
  <c r="O201" i="7"/>
  <c r="T200" i="7"/>
  <c r="P200" i="7"/>
  <c r="Q200" i="7" s="1"/>
  <c r="O200" i="7"/>
  <c r="T199" i="7"/>
  <c r="P199" i="7"/>
  <c r="Q199" i="7" s="1"/>
  <c r="O199" i="7"/>
  <c r="T198" i="7"/>
  <c r="P198" i="7"/>
  <c r="Q198" i="7" s="1"/>
  <c r="O198" i="7"/>
  <c r="T197" i="7"/>
  <c r="P197" i="7"/>
  <c r="Q197" i="7" s="1"/>
  <c r="O197" i="7"/>
  <c r="T196" i="7"/>
  <c r="P196" i="7"/>
  <c r="Q196" i="7" s="1"/>
  <c r="O196" i="7"/>
  <c r="T195" i="7"/>
  <c r="P195" i="7"/>
  <c r="Q195" i="7" s="1"/>
  <c r="O195" i="7"/>
  <c r="T194" i="7"/>
  <c r="P194" i="7"/>
  <c r="Q194" i="7" s="1"/>
  <c r="O194" i="7"/>
  <c r="T193" i="7"/>
  <c r="Q193" i="7"/>
  <c r="P193" i="7"/>
  <c r="O193" i="7"/>
  <c r="T192" i="7"/>
  <c r="P192" i="7"/>
  <c r="Q192" i="7" s="1"/>
  <c r="O192" i="7"/>
  <c r="T191" i="7"/>
  <c r="P191" i="7"/>
  <c r="Q191" i="7" s="1"/>
  <c r="O191" i="7"/>
  <c r="T190" i="7"/>
  <c r="P190" i="7"/>
  <c r="Q190" i="7" s="1"/>
  <c r="O190" i="7"/>
  <c r="T189" i="7"/>
  <c r="P189" i="7"/>
  <c r="Q189" i="7" s="1"/>
  <c r="O189" i="7"/>
  <c r="T188" i="7"/>
  <c r="P188" i="7"/>
  <c r="Q188" i="7" s="1"/>
  <c r="O188" i="7"/>
  <c r="T187" i="7"/>
  <c r="P187" i="7"/>
  <c r="Q187" i="7" s="1"/>
  <c r="O187" i="7"/>
  <c r="T186" i="7"/>
  <c r="P186" i="7"/>
  <c r="Q186" i="7" s="1"/>
  <c r="O186" i="7"/>
  <c r="T185" i="7"/>
  <c r="Q185" i="7"/>
  <c r="P185" i="7"/>
  <c r="O185" i="7"/>
  <c r="T184" i="7"/>
  <c r="P184" i="7"/>
  <c r="Q184" i="7" s="1"/>
  <c r="O184" i="7"/>
  <c r="T183" i="7"/>
  <c r="P183" i="7"/>
  <c r="Q183" i="7" s="1"/>
  <c r="O183" i="7"/>
  <c r="T182" i="7"/>
  <c r="P182" i="7"/>
  <c r="Q182" i="7" s="1"/>
  <c r="O182" i="7"/>
  <c r="T181" i="7"/>
  <c r="P181" i="7"/>
  <c r="Q181" i="7" s="1"/>
  <c r="O181" i="7"/>
  <c r="T180" i="7"/>
  <c r="P180" i="7"/>
  <c r="Q180" i="7" s="1"/>
  <c r="O180" i="7"/>
  <c r="T179" i="7"/>
  <c r="P179" i="7"/>
  <c r="Q179" i="7" s="1"/>
  <c r="O179" i="7"/>
  <c r="T178" i="7"/>
  <c r="P178" i="7"/>
  <c r="Q178" i="7" s="1"/>
  <c r="O178" i="7"/>
  <c r="T177" i="7"/>
  <c r="Q177" i="7"/>
  <c r="P177" i="7"/>
  <c r="O177" i="7"/>
  <c r="T176" i="7"/>
  <c r="P176" i="7"/>
  <c r="Q176" i="7" s="1"/>
  <c r="O176" i="7"/>
  <c r="T175" i="7"/>
  <c r="P175" i="7"/>
  <c r="Q175" i="7" s="1"/>
  <c r="O175" i="7"/>
  <c r="T174" i="7"/>
  <c r="P174" i="7"/>
  <c r="Q174" i="7" s="1"/>
  <c r="O174" i="7"/>
  <c r="T173" i="7"/>
  <c r="P173" i="7"/>
  <c r="Q173" i="7" s="1"/>
  <c r="O173" i="7"/>
  <c r="T172" i="7"/>
  <c r="P172" i="7"/>
  <c r="Q172" i="7" s="1"/>
  <c r="O172" i="7"/>
  <c r="T171" i="7"/>
  <c r="P171" i="7"/>
  <c r="Q171" i="7" s="1"/>
  <c r="O171" i="7"/>
  <c r="T170" i="7"/>
  <c r="P170" i="7"/>
  <c r="Q170" i="7" s="1"/>
  <c r="O170" i="7"/>
  <c r="T169" i="7"/>
  <c r="Q169" i="7"/>
  <c r="P169" i="7"/>
  <c r="O169" i="7"/>
  <c r="T168" i="7"/>
  <c r="P168" i="7"/>
  <c r="Q168" i="7" s="1"/>
  <c r="O168" i="7"/>
  <c r="T167" i="7"/>
  <c r="P167" i="7"/>
  <c r="Q167" i="7" s="1"/>
  <c r="O167" i="7"/>
  <c r="T166" i="7"/>
  <c r="P166" i="7"/>
  <c r="Q166" i="7" s="1"/>
  <c r="O166" i="7"/>
  <c r="T165" i="7"/>
  <c r="P165" i="7"/>
  <c r="Q165" i="7" s="1"/>
  <c r="O165" i="7"/>
  <c r="T164" i="7"/>
  <c r="P164" i="7"/>
  <c r="Q164" i="7" s="1"/>
  <c r="O164" i="7"/>
  <c r="T163" i="7"/>
  <c r="P163" i="7"/>
  <c r="Q163" i="7" s="1"/>
  <c r="O163" i="7"/>
  <c r="T162" i="7"/>
  <c r="P162" i="7"/>
  <c r="Q162" i="7" s="1"/>
  <c r="O162" i="7"/>
  <c r="T161" i="7"/>
  <c r="Q161" i="7"/>
  <c r="P161" i="7"/>
  <c r="O161" i="7"/>
  <c r="T160" i="7"/>
  <c r="P160" i="7"/>
  <c r="Q160" i="7" s="1"/>
  <c r="O160" i="7"/>
  <c r="T159" i="7"/>
  <c r="P159" i="7"/>
  <c r="Q159" i="7" s="1"/>
  <c r="O159" i="7"/>
  <c r="T158" i="7"/>
  <c r="P158" i="7"/>
  <c r="Q158" i="7" s="1"/>
  <c r="O158" i="7"/>
  <c r="T157" i="7"/>
  <c r="P157" i="7"/>
  <c r="Q157" i="7" s="1"/>
  <c r="O157" i="7"/>
  <c r="T156" i="7"/>
  <c r="P156" i="7"/>
  <c r="Q156" i="7" s="1"/>
  <c r="O156" i="7"/>
  <c r="T155" i="7"/>
  <c r="P155" i="7"/>
  <c r="Q155" i="7" s="1"/>
  <c r="O155" i="7"/>
  <c r="T154" i="7"/>
  <c r="P154" i="7"/>
  <c r="Q154" i="7" s="1"/>
  <c r="O154" i="7"/>
  <c r="T153" i="7"/>
  <c r="Q153" i="7"/>
  <c r="P153" i="7"/>
  <c r="O153" i="7"/>
  <c r="T152" i="7"/>
  <c r="P152" i="7"/>
  <c r="Q152" i="7" s="1"/>
  <c r="O152" i="7"/>
  <c r="T151" i="7"/>
  <c r="P151" i="7"/>
  <c r="Q151" i="7" s="1"/>
  <c r="O151" i="7"/>
  <c r="T150" i="7"/>
  <c r="P150" i="7"/>
  <c r="Q150" i="7" s="1"/>
  <c r="O150" i="7"/>
  <c r="T149" i="7"/>
  <c r="P149" i="7"/>
  <c r="Q149" i="7" s="1"/>
  <c r="O149" i="7"/>
  <c r="T148" i="7"/>
  <c r="P148" i="7"/>
  <c r="Q148" i="7" s="1"/>
  <c r="O148" i="7"/>
  <c r="T147" i="7"/>
  <c r="P147" i="7"/>
  <c r="Q147" i="7" s="1"/>
  <c r="O147" i="7"/>
  <c r="T146" i="7"/>
  <c r="P146" i="7"/>
  <c r="Q146" i="7" s="1"/>
  <c r="O146" i="7"/>
  <c r="T145" i="7"/>
  <c r="Q145" i="7"/>
  <c r="P145" i="7"/>
  <c r="O145" i="7"/>
  <c r="T144" i="7"/>
  <c r="P144" i="7"/>
  <c r="Q144" i="7" s="1"/>
  <c r="O144" i="7"/>
  <c r="T143" i="7"/>
  <c r="P143" i="7"/>
  <c r="Q143" i="7" s="1"/>
  <c r="O143" i="7"/>
  <c r="T142" i="7"/>
  <c r="P142" i="7"/>
  <c r="Q142" i="7" s="1"/>
  <c r="O142" i="7"/>
  <c r="T141" i="7"/>
  <c r="P141" i="7"/>
  <c r="Q141" i="7" s="1"/>
  <c r="O141" i="7"/>
  <c r="T140" i="7"/>
  <c r="P140" i="7"/>
  <c r="Q140" i="7" s="1"/>
  <c r="O140" i="7"/>
  <c r="T139" i="7"/>
  <c r="P139" i="7"/>
  <c r="Q139" i="7" s="1"/>
  <c r="O139" i="7"/>
  <c r="T138" i="7"/>
  <c r="P138" i="7"/>
  <c r="Q138" i="7" s="1"/>
  <c r="O138" i="7"/>
  <c r="T137" i="7"/>
  <c r="Q137" i="7"/>
  <c r="P137" i="7"/>
  <c r="O137" i="7"/>
  <c r="T136" i="7"/>
  <c r="P136" i="7"/>
  <c r="Q136" i="7" s="1"/>
  <c r="O136" i="7"/>
  <c r="T135" i="7"/>
  <c r="P135" i="7"/>
  <c r="Q135" i="7" s="1"/>
  <c r="O135" i="7"/>
  <c r="T134" i="7"/>
  <c r="P134" i="7"/>
  <c r="Q134" i="7" s="1"/>
  <c r="O134" i="7"/>
  <c r="T133" i="7"/>
  <c r="P133" i="7"/>
  <c r="Q133" i="7" s="1"/>
  <c r="O133" i="7"/>
  <c r="T132" i="7"/>
  <c r="P132" i="7"/>
  <c r="Q132" i="7" s="1"/>
  <c r="O132" i="7"/>
  <c r="T131" i="7"/>
  <c r="P131" i="7"/>
  <c r="Q131" i="7" s="1"/>
  <c r="O131" i="7"/>
  <c r="T130" i="7"/>
  <c r="P130" i="7"/>
  <c r="Q130" i="7" s="1"/>
  <c r="O130" i="7"/>
  <c r="T129" i="7"/>
  <c r="Q129" i="7"/>
  <c r="P129" i="7"/>
  <c r="O129" i="7"/>
  <c r="T128" i="7"/>
  <c r="P128" i="7"/>
  <c r="Q128" i="7" s="1"/>
  <c r="O128" i="7"/>
  <c r="T127" i="7"/>
  <c r="P127" i="7"/>
  <c r="Q127" i="7" s="1"/>
  <c r="O127" i="7"/>
  <c r="T126" i="7"/>
  <c r="P126" i="7"/>
  <c r="Q126" i="7" s="1"/>
  <c r="O126" i="7"/>
  <c r="T125" i="7"/>
  <c r="P125" i="7"/>
  <c r="Q125" i="7" s="1"/>
  <c r="O125" i="7"/>
  <c r="T124" i="7"/>
  <c r="P124" i="7"/>
  <c r="Q124" i="7" s="1"/>
  <c r="O124" i="7"/>
  <c r="T123" i="7"/>
  <c r="P123" i="7"/>
  <c r="Q123" i="7" s="1"/>
  <c r="O123" i="7"/>
  <c r="T122" i="7"/>
  <c r="P122" i="7"/>
  <c r="Q122" i="7" s="1"/>
  <c r="O122" i="7"/>
  <c r="T121" i="7"/>
  <c r="Q121" i="7"/>
  <c r="P121" i="7"/>
  <c r="O121" i="7"/>
  <c r="T120" i="7"/>
  <c r="P120" i="7"/>
  <c r="Q120" i="7" s="1"/>
  <c r="O120" i="7"/>
  <c r="T119" i="7"/>
  <c r="Q119" i="7"/>
  <c r="P119" i="7"/>
  <c r="O119" i="7"/>
  <c r="T118" i="7"/>
  <c r="P118" i="7"/>
  <c r="Q118" i="7" s="1"/>
  <c r="O118" i="7"/>
  <c r="T117" i="7"/>
  <c r="P117" i="7"/>
  <c r="Q117" i="7" s="1"/>
  <c r="O117" i="7"/>
  <c r="T116" i="7"/>
  <c r="P116" i="7"/>
  <c r="Q116" i="7" s="1"/>
  <c r="O116" i="7"/>
  <c r="T115" i="7"/>
  <c r="P115" i="7"/>
  <c r="Q115" i="7" s="1"/>
  <c r="O115" i="7"/>
  <c r="T114" i="7"/>
  <c r="P114" i="7"/>
  <c r="Q114" i="7" s="1"/>
  <c r="O114" i="7"/>
  <c r="T113" i="7"/>
  <c r="Q113" i="7"/>
  <c r="P113" i="7"/>
  <c r="O113" i="7"/>
  <c r="T112" i="7"/>
  <c r="P112" i="7"/>
  <c r="Q112" i="7" s="1"/>
  <c r="O112" i="7"/>
  <c r="T111" i="7"/>
  <c r="P111" i="7"/>
  <c r="Q111" i="7" s="1"/>
  <c r="O111" i="7"/>
  <c r="T110" i="7"/>
  <c r="P110" i="7"/>
  <c r="Q110" i="7" s="1"/>
  <c r="O110" i="7"/>
  <c r="T109" i="7"/>
  <c r="P109" i="7"/>
  <c r="Q109" i="7" s="1"/>
  <c r="O109" i="7"/>
  <c r="T108" i="7"/>
  <c r="P108" i="7"/>
  <c r="Q108" i="7" s="1"/>
  <c r="O108" i="7"/>
  <c r="T107" i="7"/>
  <c r="P107" i="7"/>
  <c r="Q107" i="7" s="1"/>
  <c r="O107" i="7"/>
  <c r="T106" i="7"/>
  <c r="P106" i="7"/>
  <c r="Q106" i="7" s="1"/>
  <c r="O106" i="7"/>
  <c r="T105" i="7"/>
  <c r="Q105" i="7"/>
  <c r="P105" i="7"/>
  <c r="O105" i="7"/>
  <c r="T104" i="7"/>
  <c r="Q104" i="7"/>
  <c r="P104" i="7"/>
  <c r="O104" i="7"/>
  <c r="T103" i="7"/>
  <c r="Q103" i="7"/>
  <c r="P103" i="7"/>
  <c r="O103" i="7"/>
  <c r="T102" i="7"/>
  <c r="Q102" i="7"/>
  <c r="P102" i="7"/>
  <c r="O102" i="7"/>
  <c r="T101" i="7"/>
  <c r="Q101" i="7"/>
  <c r="P101" i="7"/>
  <c r="O101" i="7"/>
  <c r="T100" i="7"/>
  <c r="Q100" i="7"/>
  <c r="P100" i="7"/>
  <c r="O100" i="7"/>
  <c r="T99" i="7"/>
  <c r="Q99" i="7"/>
  <c r="P99" i="7"/>
  <c r="O99" i="7"/>
  <c r="T98" i="7"/>
  <c r="Q98" i="7"/>
  <c r="P98" i="7"/>
  <c r="O98" i="7"/>
  <c r="T97" i="7"/>
  <c r="Q97" i="7"/>
  <c r="P97" i="7"/>
  <c r="O97" i="7"/>
  <c r="T96" i="7"/>
  <c r="Q96" i="7"/>
  <c r="P96" i="7"/>
  <c r="O96" i="7"/>
  <c r="T95" i="7"/>
  <c r="Q95" i="7"/>
  <c r="P95" i="7"/>
  <c r="O95" i="7"/>
  <c r="T94" i="7"/>
  <c r="Q94" i="7"/>
  <c r="P94" i="7"/>
  <c r="O94" i="7"/>
  <c r="T93" i="7"/>
  <c r="Q93" i="7"/>
  <c r="P93" i="7"/>
  <c r="O93" i="7"/>
  <c r="T92" i="7"/>
  <c r="Q92" i="7"/>
  <c r="P92" i="7"/>
  <c r="O92" i="7"/>
  <c r="T91" i="7"/>
  <c r="Q91" i="7"/>
  <c r="P91" i="7"/>
  <c r="O91" i="7"/>
  <c r="T90" i="7"/>
  <c r="Q90" i="7"/>
  <c r="P90" i="7"/>
  <c r="O90" i="7"/>
  <c r="T89" i="7"/>
  <c r="Q89" i="7"/>
  <c r="P89" i="7"/>
  <c r="O89" i="7"/>
  <c r="T88" i="7"/>
  <c r="Q88" i="7"/>
  <c r="P88" i="7"/>
  <c r="O88" i="7"/>
  <c r="T87" i="7"/>
  <c r="Q87" i="7"/>
  <c r="P87" i="7"/>
  <c r="O87" i="7"/>
  <c r="T86" i="7"/>
  <c r="Q86" i="7"/>
  <c r="P86" i="7"/>
  <c r="O86" i="7"/>
  <c r="T85" i="7"/>
  <c r="Q85" i="7"/>
  <c r="P85" i="7"/>
  <c r="O85" i="7"/>
  <c r="T84" i="7"/>
  <c r="Q84" i="7"/>
  <c r="P84" i="7"/>
  <c r="O84" i="7"/>
  <c r="T83" i="7"/>
  <c r="Q83" i="7"/>
  <c r="P83" i="7"/>
  <c r="O83" i="7"/>
  <c r="T82" i="7"/>
  <c r="Q82" i="7"/>
  <c r="P82" i="7"/>
  <c r="O82" i="7"/>
  <c r="T81" i="7"/>
  <c r="Q81" i="7"/>
  <c r="P81" i="7"/>
  <c r="O81" i="7"/>
  <c r="T80" i="7"/>
  <c r="Q80" i="7"/>
  <c r="P80" i="7"/>
  <c r="O80" i="7"/>
  <c r="T79" i="7"/>
  <c r="Q79" i="7"/>
  <c r="P79" i="7"/>
  <c r="O79" i="7"/>
  <c r="T78" i="7"/>
  <c r="Q78" i="7"/>
  <c r="P78" i="7"/>
  <c r="O78" i="7"/>
  <c r="T77" i="7"/>
  <c r="Q77" i="7"/>
  <c r="P77" i="7"/>
  <c r="O77" i="7"/>
  <c r="T76" i="7"/>
  <c r="Q76" i="7"/>
  <c r="P76" i="7"/>
  <c r="O76" i="7"/>
  <c r="T75" i="7"/>
  <c r="Q75" i="7"/>
  <c r="P75" i="7"/>
  <c r="O75" i="7"/>
  <c r="T74" i="7"/>
  <c r="Q74" i="7"/>
  <c r="P74" i="7"/>
  <c r="O74" i="7"/>
  <c r="T73" i="7"/>
  <c r="Q73" i="7"/>
  <c r="P73" i="7"/>
  <c r="O73" i="7"/>
  <c r="T72" i="7"/>
  <c r="Q72" i="7"/>
  <c r="P72" i="7"/>
  <c r="O72" i="7"/>
  <c r="T71" i="7"/>
  <c r="Q71" i="7"/>
  <c r="P71" i="7"/>
  <c r="O71" i="7"/>
  <c r="T70" i="7"/>
  <c r="Q70" i="7"/>
  <c r="P70" i="7"/>
  <c r="O70" i="7"/>
  <c r="T69" i="7"/>
  <c r="Q69" i="7"/>
  <c r="P69" i="7"/>
  <c r="O69" i="7"/>
  <c r="T68" i="7"/>
  <c r="Q68" i="7"/>
  <c r="P68" i="7"/>
  <c r="O68" i="7"/>
  <c r="T67" i="7"/>
  <c r="Q67" i="7"/>
  <c r="P67" i="7"/>
  <c r="O67" i="7"/>
  <c r="T66" i="7"/>
  <c r="Q66" i="7"/>
  <c r="P66" i="7"/>
  <c r="O66" i="7"/>
  <c r="T65" i="7"/>
  <c r="Q65" i="7"/>
  <c r="P65" i="7"/>
  <c r="O65" i="7"/>
  <c r="T64" i="7"/>
  <c r="Q64" i="7"/>
  <c r="P64" i="7"/>
  <c r="O64" i="7"/>
  <c r="T63" i="7"/>
  <c r="Q63" i="7"/>
  <c r="P63" i="7"/>
  <c r="O63" i="7"/>
  <c r="T62" i="7"/>
  <c r="Q62" i="7"/>
  <c r="P62" i="7"/>
  <c r="O62" i="7"/>
  <c r="T61" i="7"/>
  <c r="Q61" i="7"/>
  <c r="P61" i="7"/>
  <c r="O61" i="7"/>
  <c r="T60" i="7"/>
  <c r="Q60" i="7"/>
  <c r="P60" i="7"/>
  <c r="O60" i="7"/>
  <c r="T59" i="7"/>
  <c r="Q59" i="7"/>
  <c r="P59" i="7"/>
  <c r="O59" i="7"/>
  <c r="T58" i="7"/>
  <c r="Q58" i="7"/>
  <c r="P58" i="7"/>
  <c r="O58" i="7"/>
  <c r="T57" i="7"/>
  <c r="Q57" i="7"/>
  <c r="P57" i="7"/>
  <c r="O57" i="7"/>
  <c r="T56" i="7"/>
  <c r="Q56" i="7"/>
  <c r="P56" i="7"/>
  <c r="O56" i="7"/>
  <c r="T55" i="7"/>
  <c r="Q55" i="7"/>
  <c r="P55" i="7"/>
  <c r="O55" i="7"/>
  <c r="T54" i="7"/>
  <c r="Q54" i="7"/>
  <c r="P54" i="7"/>
  <c r="O54" i="7"/>
  <c r="T53" i="7"/>
  <c r="Q53" i="7"/>
  <c r="P53" i="7"/>
  <c r="O53" i="7"/>
  <c r="T52" i="7"/>
  <c r="Q52" i="7"/>
  <c r="P52" i="7"/>
  <c r="O52" i="7"/>
  <c r="T51" i="7"/>
  <c r="Q51" i="7"/>
  <c r="P51" i="7"/>
  <c r="O51" i="7"/>
  <c r="T50" i="7"/>
  <c r="Q50" i="7"/>
  <c r="P50" i="7"/>
  <c r="O50" i="7"/>
  <c r="T49" i="7"/>
  <c r="Q49" i="7"/>
  <c r="P49" i="7"/>
  <c r="O49" i="7"/>
  <c r="T48" i="7"/>
  <c r="Q48" i="7"/>
  <c r="P48" i="7"/>
  <c r="O48" i="7"/>
  <c r="T47" i="7"/>
  <c r="Q47" i="7"/>
  <c r="P47" i="7"/>
  <c r="O47" i="7"/>
  <c r="T46" i="7"/>
  <c r="Q46" i="7"/>
  <c r="P46" i="7"/>
  <c r="O46" i="7"/>
  <c r="T45" i="7"/>
  <c r="Q45" i="7"/>
  <c r="P45" i="7"/>
  <c r="O45" i="7"/>
  <c r="T44" i="7"/>
  <c r="Q44" i="7"/>
  <c r="P44" i="7"/>
  <c r="O44" i="7"/>
  <c r="T43" i="7"/>
  <c r="Q43" i="7"/>
  <c r="P43" i="7"/>
  <c r="O43" i="7"/>
  <c r="T42" i="7"/>
  <c r="Q42" i="7"/>
  <c r="P42" i="7"/>
  <c r="O42" i="7"/>
  <c r="T41" i="7"/>
  <c r="Q41" i="7"/>
  <c r="P41" i="7"/>
  <c r="O41" i="7"/>
  <c r="T40" i="7"/>
  <c r="Q40" i="7"/>
  <c r="P40" i="7"/>
  <c r="O40" i="7"/>
  <c r="T39" i="7"/>
  <c r="Q39" i="7"/>
  <c r="P39" i="7"/>
  <c r="O39" i="7"/>
  <c r="T38" i="7"/>
  <c r="Q38" i="7"/>
  <c r="P38" i="7"/>
  <c r="O38" i="7"/>
  <c r="T37" i="7"/>
  <c r="Q37" i="7"/>
  <c r="P37" i="7"/>
  <c r="O37" i="7"/>
  <c r="T36" i="7"/>
  <c r="Q36" i="7"/>
  <c r="P36" i="7"/>
  <c r="O36" i="7"/>
  <c r="T35" i="7"/>
  <c r="Q35" i="7"/>
  <c r="P35" i="7"/>
  <c r="O35" i="7"/>
  <c r="T34" i="7"/>
  <c r="Q34" i="7"/>
  <c r="P34" i="7"/>
  <c r="O34" i="7"/>
  <c r="T33" i="7"/>
  <c r="Q33" i="7"/>
  <c r="P33" i="7"/>
  <c r="O33" i="7"/>
  <c r="T32" i="7"/>
  <c r="Q32" i="7"/>
  <c r="P32" i="7"/>
  <c r="O32" i="7"/>
  <c r="T31" i="7"/>
  <c r="Q31" i="7"/>
  <c r="P31" i="7"/>
  <c r="O31" i="7"/>
  <c r="T30" i="7"/>
  <c r="Q30" i="7"/>
  <c r="P30" i="7"/>
  <c r="O30" i="7"/>
  <c r="T29" i="7"/>
  <c r="Q29" i="7"/>
  <c r="P29" i="7"/>
  <c r="O29" i="7"/>
  <c r="T28" i="7"/>
  <c r="Q28" i="7"/>
  <c r="P28" i="7"/>
  <c r="O28" i="7"/>
  <c r="T27" i="7"/>
  <c r="Q27" i="7"/>
  <c r="P27" i="7"/>
  <c r="O27" i="7"/>
  <c r="T26" i="7"/>
  <c r="Q26" i="7"/>
  <c r="P26" i="7"/>
  <c r="O26" i="7"/>
  <c r="T25" i="7"/>
  <c r="Q25" i="7"/>
  <c r="P25" i="7"/>
  <c r="O25" i="7"/>
  <c r="T24" i="7"/>
  <c r="Q24" i="7"/>
  <c r="P24" i="7"/>
  <c r="O24" i="7"/>
  <c r="T23" i="7"/>
  <c r="Q23" i="7"/>
  <c r="P23" i="7"/>
  <c r="O23" i="7"/>
  <c r="T22" i="7"/>
  <c r="Q22" i="7"/>
  <c r="P22" i="7"/>
  <c r="O22" i="7"/>
  <c r="T21" i="7"/>
  <c r="Q21" i="7"/>
  <c r="P21" i="7"/>
  <c r="O21" i="7"/>
  <c r="T20" i="7"/>
  <c r="Q20" i="7"/>
  <c r="P20" i="7"/>
  <c r="O20" i="7"/>
  <c r="T19" i="7"/>
  <c r="Q19" i="7"/>
  <c r="P19" i="7"/>
  <c r="O19" i="7"/>
  <c r="T18" i="7"/>
  <c r="Q18" i="7"/>
  <c r="P18" i="7"/>
  <c r="O18" i="7"/>
  <c r="T17" i="7"/>
  <c r="Q17" i="7"/>
  <c r="P17" i="7"/>
  <c r="O17" i="7"/>
  <c r="T16" i="7"/>
  <c r="Q16" i="7"/>
  <c r="P16" i="7"/>
  <c r="O16" i="7"/>
  <c r="T15" i="7"/>
  <c r="Q15" i="7"/>
  <c r="P15" i="7"/>
  <c r="O15" i="7"/>
  <c r="T14" i="7"/>
  <c r="Q14" i="7"/>
  <c r="P14" i="7"/>
  <c r="O14" i="7"/>
  <c r="T13" i="7"/>
  <c r="Q13" i="7"/>
  <c r="P13" i="7"/>
  <c r="O13" i="7"/>
  <c r="T12" i="7"/>
  <c r="Q12" i="7"/>
  <c r="P12" i="7"/>
  <c r="O12" i="7"/>
  <c r="T11" i="7"/>
  <c r="Q11" i="7"/>
  <c r="P11" i="7"/>
  <c r="O11" i="7"/>
  <c r="W10" i="7"/>
  <c r="T10" i="7"/>
  <c r="P10" i="7"/>
  <c r="Q10" i="7" s="1"/>
  <c r="O10" i="7"/>
  <c r="T9" i="7"/>
  <c r="P9" i="7"/>
  <c r="Q9" i="7" s="1"/>
  <c r="O9" i="7"/>
  <c r="W8" i="7"/>
  <c r="T8" i="7"/>
  <c r="P8" i="7"/>
  <c r="Q8" i="7" s="1"/>
  <c r="O8" i="7"/>
  <c r="W7" i="7"/>
  <c r="T7" i="7"/>
  <c r="Q7" i="7"/>
  <c r="P7" i="7"/>
  <c r="O7" i="7"/>
  <c r="W6" i="7"/>
  <c r="D14" i="2" s="1"/>
  <c r="T6" i="7"/>
  <c r="Q6" i="7"/>
  <c r="P6" i="7"/>
  <c r="O6" i="7"/>
  <c r="D5" i="9" s="1"/>
  <c r="W5" i="7"/>
  <c r="T5" i="7"/>
  <c r="P5" i="7"/>
  <c r="Q5" i="7" s="1"/>
  <c r="O5" i="7"/>
  <c r="M119" i="6"/>
  <c r="L119" i="6"/>
  <c r="M118" i="6"/>
  <c r="L118" i="6"/>
  <c r="M117" i="6"/>
  <c r="L117" i="6"/>
  <c r="M116" i="6"/>
  <c r="L116" i="6"/>
  <c r="M115" i="6"/>
  <c r="L115" i="6"/>
  <c r="M114" i="6"/>
  <c r="L114" i="6"/>
  <c r="M113" i="6"/>
  <c r="L113" i="6"/>
  <c r="M112" i="6"/>
  <c r="L112" i="6"/>
  <c r="M111" i="6"/>
  <c r="L111" i="6"/>
  <c r="M110" i="6"/>
  <c r="L110" i="6"/>
  <c r="M109" i="6"/>
  <c r="L109" i="6"/>
  <c r="M108" i="6"/>
  <c r="L108" i="6"/>
  <c r="M107" i="6"/>
  <c r="L107" i="6"/>
  <c r="M106" i="6"/>
  <c r="L106" i="6"/>
  <c r="M105" i="6"/>
  <c r="L105" i="6"/>
  <c r="M104" i="6"/>
  <c r="L104" i="6"/>
  <c r="M103" i="6"/>
  <c r="L103" i="6"/>
  <c r="M102" i="6"/>
  <c r="L102" i="6"/>
  <c r="M101" i="6"/>
  <c r="L101" i="6"/>
  <c r="M100" i="6"/>
  <c r="L100" i="6"/>
  <c r="M99" i="6"/>
  <c r="L99" i="6"/>
  <c r="M98" i="6"/>
  <c r="L98" i="6"/>
  <c r="M97" i="6"/>
  <c r="L97" i="6"/>
  <c r="M96" i="6"/>
  <c r="L96" i="6"/>
  <c r="M95" i="6"/>
  <c r="L95" i="6"/>
  <c r="M94" i="6"/>
  <c r="L94" i="6"/>
  <c r="M93" i="6"/>
  <c r="L93" i="6"/>
  <c r="M92" i="6"/>
  <c r="L92" i="6"/>
  <c r="M91" i="6"/>
  <c r="L91" i="6"/>
  <c r="M90" i="6"/>
  <c r="L90" i="6"/>
  <c r="M89" i="6"/>
  <c r="L89" i="6"/>
  <c r="M88" i="6"/>
  <c r="L88" i="6"/>
  <c r="M87" i="6"/>
  <c r="L87" i="6"/>
  <c r="M86" i="6"/>
  <c r="L86" i="6"/>
  <c r="M85" i="6"/>
  <c r="L85" i="6"/>
  <c r="M84" i="6"/>
  <c r="L84" i="6"/>
  <c r="M83" i="6"/>
  <c r="L83" i="6"/>
  <c r="M82" i="6"/>
  <c r="L82" i="6"/>
  <c r="M81" i="6"/>
  <c r="L81" i="6"/>
  <c r="M80" i="6"/>
  <c r="L80" i="6"/>
  <c r="M79" i="6"/>
  <c r="L79" i="6"/>
  <c r="M78" i="6"/>
  <c r="L78" i="6"/>
  <c r="M77" i="6"/>
  <c r="L77" i="6"/>
  <c r="M76" i="6"/>
  <c r="L76" i="6"/>
  <c r="M75" i="6"/>
  <c r="L75" i="6"/>
  <c r="M74" i="6"/>
  <c r="L74" i="6"/>
  <c r="M73" i="6"/>
  <c r="L73" i="6"/>
  <c r="M72" i="6"/>
  <c r="L72" i="6"/>
  <c r="M71" i="6"/>
  <c r="L71" i="6"/>
  <c r="M70" i="6"/>
  <c r="L70" i="6"/>
  <c r="M69" i="6"/>
  <c r="L69" i="6"/>
  <c r="M68" i="6"/>
  <c r="L68" i="6"/>
  <c r="M67" i="6"/>
  <c r="L67" i="6"/>
  <c r="M66" i="6"/>
  <c r="L66" i="6"/>
  <c r="M65" i="6"/>
  <c r="L65" i="6"/>
  <c r="M64" i="6"/>
  <c r="L64" i="6"/>
  <c r="M63" i="6"/>
  <c r="L63" i="6"/>
  <c r="M62" i="6"/>
  <c r="L62" i="6"/>
  <c r="M61" i="6"/>
  <c r="L61" i="6"/>
  <c r="M60" i="6"/>
  <c r="L60" i="6"/>
  <c r="M59" i="6"/>
  <c r="L59" i="6"/>
  <c r="M58" i="6"/>
  <c r="L58" i="6"/>
  <c r="M57" i="6"/>
  <c r="L57" i="6"/>
  <c r="M56" i="6"/>
  <c r="L56" i="6"/>
  <c r="M55" i="6"/>
  <c r="L55" i="6"/>
  <c r="M54" i="6"/>
  <c r="L54" i="6"/>
  <c r="M53" i="6"/>
  <c r="L53" i="6"/>
  <c r="M52" i="6"/>
  <c r="L52" i="6"/>
  <c r="M51" i="6"/>
  <c r="L51" i="6"/>
  <c r="M50" i="6"/>
  <c r="L50" i="6"/>
  <c r="M49" i="6"/>
  <c r="L49" i="6"/>
  <c r="M48" i="6"/>
  <c r="L48" i="6"/>
  <c r="M47" i="6"/>
  <c r="L47" i="6"/>
  <c r="M46" i="6"/>
  <c r="L46" i="6"/>
  <c r="M45" i="6"/>
  <c r="L45" i="6"/>
  <c r="M44" i="6"/>
  <c r="L44" i="6"/>
  <c r="M43" i="6"/>
  <c r="L43" i="6"/>
  <c r="M42" i="6"/>
  <c r="L42" i="6"/>
  <c r="M41" i="6"/>
  <c r="L41" i="6"/>
  <c r="M40" i="6"/>
  <c r="L40" i="6"/>
  <c r="M39" i="6"/>
  <c r="L39" i="6"/>
  <c r="M38" i="6"/>
  <c r="L38" i="6"/>
  <c r="M37" i="6"/>
  <c r="L37" i="6"/>
  <c r="M36" i="6"/>
  <c r="L36" i="6"/>
  <c r="M35" i="6"/>
  <c r="L35" i="6"/>
  <c r="M34" i="6"/>
  <c r="L34" i="6"/>
  <c r="M33" i="6"/>
  <c r="L33" i="6"/>
  <c r="M32" i="6"/>
  <c r="L32" i="6"/>
  <c r="M31" i="6"/>
  <c r="L31" i="6"/>
  <c r="M30" i="6"/>
  <c r="L30" i="6"/>
  <c r="M29" i="6"/>
  <c r="L29" i="6"/>
  <c r="M28" i="6"/>
  <c r="L28" i="6"/>
  <c r="M27" i="6"/>
  <c r="L27" i="6"/>
  <c r="M26" i="6"/>
  <c r="L26" i="6"/>
  <c r="M25" i="6"/>
  <c r="L25" i="6"/>
  <c r="M24" i="6"/>
  <c r="L24" i="6"/>
  <c r="M23" i="6"/>
  <c r="L23" i="6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M15" i="6"/>
  <c r="L15" i="6"/>
  <c r="W14" i="6"/>
  <c r="M14" i="6"/>
  <c r="L14" i="6"/>
  <c r="M13" i="6"/>
  <c r="W13" i="6" s="1"/>
  <c r="G4" i="2" s="1"/>
  <c r="L13" i="6"/>
  <c r="W12" i="6"/>
  <c r="M12" i="6"/>
  <c r="L12" i="6"/>
  <c r="W11" i="6"/>
  <c r="M11" i="6"/>
  <c r="L11" i="6"/>
  <c r="W10" i="6"/>
  <c r="M10" i="6"/>
  <c r="L10" i="6"/>
  <c r="M9" i="6"/>
  <c r="L9" i="6"/>
  <c r="W8" i="6"/>
  <c r="M8" i="6"/>
  <c r="W7" i="6"/>
  <c r="F12" i="2" s="1"/>
  <c r="M7" i="6"/>
  <c r="G8" i="9" s="1"/>
  <c r="W6" i="6"/>
  <c r="M6" i="6"/>
  <c r="W5" i="6"/>
  <c r="B12" i="2" s="1"/>
  <c r="M5" i="6"/>
  <c r="G5" i="9" s="1"/>
  <c r="M80" i="5"/>
  <c r="L80" i="5"/>
  <c r="J80" i="5"/>
  <c r="G80" i="5"/>
  <c r="C80" i="5"/>
  <c r="L79" i="5"/>
  <c r="J79" i="5"/>
  <c r="G79" i="5"/>
  <c r="M79" i="5" s="1"/>
  <c r="C79" i="5"/>
  <c r="L78" i="5"/>
  <c r="J78" i="5"/>
  <c r="G78" i="5"/>
  <c r="M78" i="5" s="1"/>
  <c r="C78" i="5"/>
  <c r="L77" i="5"/>
  <c r="M77" i="5" s="1"/>
  <c r="J77" i="5"/>
  <c r="G77" i="5"/>
  <c r="C77" i="5"/>
  <c r="L76" i="5"/>
  <c r="J76" i="5"/>
  <c r="G76" i="5"/>
  <c r="M76" i="5" s="1"/>
  <c r="C76" i="5"/>
  <c r="L75" i="5"/>
  <c r="J75" i="5"/>
  <c r="G75" i="5"/>
  <c r="M75" i="5" s="1"/>
  <c r="C75" i="5"/>
  <c r="M74" i="5"/>
  <c r="L74" i="5"/>
  <c r="J74" i="5"/>
  <c r="G74" i="5"/>
  <c r="C74" i="5"/>
  <c r="L73" i="5"/>
  <c r="J73" i="5"/>
  <c r="G73" i="5"/>
  <c r="M73" i="5" s="1"/>
  <c r="C73" i="5"/>
  <c r="M72" i="5"/>
  <c r="L72" i="5"/>
  <c r="J72" i="5"/>
  <c r="G72" i="5"/>
  <c r="C72" i="5"/>
  <c r="L71" i="5"/>
  <c r="J71" i="5"/>
  <c r="G71" i="5"/>
  <c r="C71" i="5"/>
  <c r="L70" i="5"/>
  <c r="J70" i="5"/>
  <c r="G70" i="5"/>
  <c r="M70" i="5" s="1"/>
  <c r="C70" i="5"/>
  <c r="L69" i="5"/>
  <c r="M69" i="5" s="1"/>
  <c r="J69" i="5"/>
  <c r="G69" i="5"/>
  <c r="C69" i="5"/>
  <c r="L68" i="5"/>
  <c r="J68" i="5"/>
  <c r="G68" i="5"/>
  <c r="M68" i="5" s="1"/>
  <c r="C68" i="5"/>
  <c r="L67" i="5"/>
  <c r="J67" i="5"/>
  <c r="G67" i="5"/>
  <c r="M67" i="5" s="1"/>
  <c r="C67" i="5"/>
  <c r="L66" i="5"/>
  <c r="J66" i="5"/>
  <c r="M66" i="5" s="1"/>
  <c r="G66" i="5"/>
  <c r="C66" i="5"/>
  <c r="L65" i="5"/>
  <c r="J65" i="5"/>
  <c r="G65" i="5"/>
  <c r="M65" i="5" s="1"/>
  <c r="C65" i="5"/>
  <c r="M64" i="5"/>
  <c r="L64" i="5"/>
  <c r="J64" i="5"/>
  <c r="G64" i="5"/>
  <c r="C64" i="5"/>
  <c r="L63" i="5"/>
  <c r="J63" i="5"/>
  <c r="G63" i="5"/>
  <c r="M63" i="5" s="1"/>
  <c r="C63" i="5"/>
  <c r="L62" i="5"/>
  <c r="J62" i="5"/>
  <c r="G62" i="5"/>
  <c r="M62" i="5" s="1"/>
  <c r="C62" i="5"/>
  <c r="L61" i="5"/>
  <c r="M61" i="5" s="1"/>
  <c r="J61" i="5"/>
  <c r="G61" i="5"/>
  <c r="C61" i="5"/>
  <c r="L60" i="5"/>
  <c r="J60" i="5"/>
  <c r="G60" i="5"/>
  <c r="C60" i="5"/>
  <c r="L59" i="5"/>
  <c r="J59" i="5"/>
  <c r="G59" i="5"/>
  <c r="M59" i="5" s="1"/>
  <c r="C59" i="5"/>
  <c r="L58" i="5"/>
  <c r="M58" i="5" s="1"/>
  <c r="J58" i="5"/>
  <c r="G58" i="5"/>
  <c r="C58" i="5"/>
  <c r="L57" i="5"/>
  <c r="J57" i="5"/>
  <c r="G57" i="5"/>
  <c r="M57" i="5" s="1"/>
  <c r="C57" i="5"/>
  <c r="M56" i="5"/>
  <c r="L56" i="5"/>
  <c r="J56" i="5"/>
  <c r="G56" i="5"/>
  <c r="C56" i="5"/>
  <c r="L55" i="5"/>
  <c r="J55" i="5"/>
  <c r="G55" i="5"/>
  <c r="M55" i="5" s="1"/>
  <c r="C55" i="5"/>
  <c r="L54" i="5"/>
  <c r="J54" i="5"/>
  <c r="G54" i="5"/>
  <c r="M54" i="5" s="1"/>
  <c r="C54" i="5"/>
  <c r="L53" i="5"/>
  <c r="M53" i="5" s="1"/>
  <c r="J53" i="5"/>
  <c r="G53" i="5"/>
  <c r="C53" i="5"/>
  <c r="L52" i="5"/>
  <c r="J52" i="5"/>
  <c r="G52" i="5"/>
  <c r="M52" i="5" s="1"/>
  <c r="C52" i="5"/>
  <c r="L51" i="5"/>
  <c r="J51" i="5"/>
  <c r="G51" i="5"/>
  <c r="M51" i="5" s="1"/>
  <c r="C51" i="5"/>
  <c r="L50" i="5"/>
  <c r="J50" i="5"/>
  <c r="M50" i="5" s="1"/>
  <c r="G50" i="5"/>
  <c r="C50" i="5"/>
  <c r="L49" i="5"/>
  <c r="J49" i="5"/>
  <c r="G49" i="5"/>
  <c r="M49" i="5" s="1"/>
  <c r="C49" i="5"/>
  <c r="M48" i="5"/>
  <c r="L48" i="5"/>
  <c r="J48" i="5"/>
  <c r="G48" i="5"/>
  <c r="C48" i="5"/>
  <c r="L47" i="5"/>
  <c r="G5" i="5" s="1"/>
  <c r="C18" i="2" s="1"/>
  <c r="J47" i="5"/>
  <c r="G47" i="5"/>
  <c r="C47" i="5"/>
  <c r="L46" i="5"/>
  <c r="J46" i="5"/>
  <c r="G46" i="5"/>
  <c r="M46" i="5" s="1"/>
  <c r="C46" i="5"/>
  <c r="M45" i="5"/>
  <c r="L45" i="5"/>
  <c r="J45" i="5"/>
  <c r="G45" i="5"/>
  <c r="C45" i="5"/>
  <c r="L44" i="5"/>
  <c r="J44" i="5"/>
  <c r="G44" i="5"/>
  <c r="M44" i="5" s="1"/>
  <c r="C44" i="5"/>
  <c r="L43" i="5"/>
  <c r="J43" i="5"/>
  <c r="G43" i="5"/>
  <c r="M43" i="5" s="1"/>
  <c r="C43" i="5"/>
  <c r="L42" i="5"/>
  <c r="J42" i="5"/>
  <c r="M42" i="5" s="1"/>
  <c r="G42" i="5"/>
  <c r="C42" i="5"/>
  <c r="L41" i="5"/>
  <c r="J41" i="5"/>
  <c r="G41" i="5"/>
  <c r="M41" i="5" s="1"/>
  <c r="C41" i="5"/>
  <c r="M40" i="5"/>
  <c r="L40" i="5"/>
  <c r="J40" i="5"/>
  <c r="G40" i="5"/>
  <c r="C40" i="5"/>
  <c r="L39" i="5"/>
  <c r="J39" i="5"/>
  <c r="G39" i="5"/>
  <c r="M39" i="5" s="1"/>
  <c r="C39" i="5"/>
  <c r="L38" i="5"/>
  <c r="J38" i="5"/>
  <c r="G38" i="5"/>
  <c r="M38" i="5" s="1"/>
  <c r="C38" i="5"/>
  <c r="L37" i="5"/>
  <c r="M37" i="5" s="1"/>
  <c r="J37" i="5"/>
  <c r="G37" i="5"/>
  <c r="C37" i="5"/>
  <c r="L36" i="5"/>
  <c r="J36" i="5"/>
  <c r="G36" i="5"/>
  <c r="C36" i="5"/>
  <c r="L35" i="5"/>
  <c r="J35" i="5"/>
  <c r="G35" i="5"/>
  <c r="M35" i="5" s="1"/>
  <c r="C35" i="5"/>
  <c r="M34" i="5"/>
  <c r="L34" i="5"/>
  <c r="J34" i="5"/>
  <c r="G34" i="5"/>
  <c r="C34" i="5"/>
  <c r="L33" i="5"/>
  <c r="J33" i="5"/>
  <c r="G33" i="5"/>
  <c r="M33" i="5" s="1"/>
  <c r="C33" i="5"/>
  <c r="M32" i="5"/>
  <c r="L32" i="5"/>
  <c r="J32" i="5"/>
  <c r="G32" i="5"/>
  <c r="C32" i="5"/>
  <c r="L31" i="5"/>
  <c r="J31" i="5"/>
  <c r="G31" i="5"/>
  <c r="M31" i="5" s="1"/>
  <c r="C31" i="5"/>
  <c r="L30" i="5"/>
  <c r="J30" i="5"/>
  <c r="G30" i="5"/>
  <c r="M30" i="5" s="1"/>
  <c r="C30" i="5"/>
  <c r="L29" i="5"/>
  <c r="M29" i="5" s="1"/>
  <c r="J29" i="5"/>
  <c r="G29" i="5"/>
  <c r="C29" i="5"/>
  <c r="L28" i="5"/>
  <c r="J28" i="5"/>
  <c r="G28" i="5"/>
  <c r="M28" i="5" s="1"/>
  <c r="C28" i="5"/>
  <c r="L27" i="5"/>
  <c r="J27" i="5"/>
  <c r="G27" i="5"/>
  <c r="M27" i="5" s="1"/>
  <c r="C27" i="5"/>
  <c r="L26" i="5"/>
  <c r="J26" i="5"/>
  <c r="M26" i="5" s="1"/>
  <c r="G26" i="5"/>
  <c r="C26" i="5"/>
  <c r="L25" i="5"/>
  <c r="J25" i="5"/>
  <c r="G25" i="5"/>
  <c r="M25" i="5" s="1"/>
  <c r="C25" i="5"/>
  <c r="M24" i="5"/>
  <c r="L24" i="5"/>
  <c r="J24" i="5"/>
  <c r="G24" i="5"/>
  <c r="C24" i="5"/>
  <c r="L23" i="5"/>
  <c r="J23" i="5"/>
  <c r="G23" i="5"/>
  <c r="C23" i="5"/>
  <c r="L22" i="5"/>
  <c r="J22" i="5"/>
  <c r="G22" i="5"/>
  <c r="M22" i="5" s="1"/>
  <c r="C22" i="5"/>
  <c r="M21" i="5"/>
  <c r="L21" i="5"/>
  <c r="J21" i="5"/>
  <c r="G21" i="5"/>
  <c r="C21" i="5"/>
  <c r="L20" i="5"/>
  <c r="J20" i="5"/>
  <c r="G20" i="5"/>
  <c r="M20" i="5" s="1"/>
  <c r="C20" i="5"/>
  <c r="L19" i="5"/>
  <c r="J19" i="5"/>
  <c r="G19" i="5"/>
  <c r="M19" i="5" s="1"/>
  <c r="C19" i="5"/>
  <c r="L18" i="5"/>
  <c r="J18" i="5"/>
  <c r="M18" i="5" s="1"/>
  <c r="G18" i="5"/>
  <c r="C18" i="5"/>
  <c r="L17" i="5"/>
  <c r="J17" i="5"/>
  <c r="G17" i="5"/>
  <c r="M17" i="5" s="1"/>
  <c r="C17" i="5"/>
  <c r="M16" i="5"/>
  <c r="L16" i="5"/>
  <c r="J16" i="5"/>
  <c r="G16" i="5"/>
  <c r="C16" i="5"/>
  <c r="L15" i="5"/>
  <c r="J15" i="5"/>
  <c r="G15" i="5"/>
  <c r="M15" i="5" s="1"/>
  <c r="C15" i="5"/>
  <c r="L14" i="5"/>
  <c r="J14" i="5"/>
  <c r="G14" i="5"/>
  <c r="M14" i="5" s="1"/>
  <c r="C14" i="5"/>
  <c r="L13" i="5"/>
  <c r="M13" i="5" s="1"/>
  <c r="J13" i="5"/>
  <c r="G13" i="5"/>
  <c r="C13" i="5"/>
  <c r="L12" i="5"/>
  <c r="J12" i="5"/>
  <c r="G12" i="5"/>
  <c r="M12" i="5" s="1"/>
  <c r="C12" i="5"/>
  <c r="L11" i="5"/>
  <c r="J11" i="5"/>
  <c r="G11" i="5"/>
  <c r="M11" i="5" s="1"/>
  <c r="C11" i="5"/>
  <c r="M10" i="5"/>
  <c r="L10" i="5"/>
  <c r="J10" i="5"/>
  <c r="G10" i="5"/>
  <c r="C10" i="5"/>
  <c r="L9" i="5"/>
  <c r="J9" i="5"/>
  <c r="G9" i="5"/>
  <c r="M9" i="5" s="1"/>
  <c r="C9" i="5"/>
  <c r="M8" i="5"/>
  <c r="L8" i="5"/>
  <c r="J8" i="5"/>
  <c r="G8" i="5"/>
  <c r="C8" i="5"/>
  <c r="E5" i="5"/>
  <c r="E17" i="2" s="1"/>
  <c r="F4" i="5"/>
  <c r="C28" i="2"/>
  <c r="C27" i="2"/>
  <c r="C26" i="2"/>
  <c r="C25" i="2"/>
  <c r="C24" i="2"/>
  <c r="C23" i="2"/>
  <c r="C22" i="2"/>
  <c r="H14" i="2"/>
  <c r="B14" i="2"/>
  <c r="H12" i="2"/>
  <c r="C8" i="2"/>
  <c r="C4" i="2"/>
  <c r="I5" i="1"/>
  <c r="M8" i="12" l="1"/>
  <c r="M5" i="12"/>
  <c r="Q5" i="11"/>
  <c r="M6" i="12"/>
  <c r="D6" i="9"/>
  <c r="W9" i="7"/>
  <c r="F14" i="2" s="1"/>
  <c r="M4" i="5"/>
  <c r="D12" i="9"/>
  <c r="J12" i="9"/>
  <c r="I12" i="9"/>
  <c r="H12" i="9"/>
  <c r="G12" i="9"/>
  <c r="F12" i="9"/>
  <c r="E12" i="9"/>
  <c r="C12" i="9"/>
  <c r="L12" i="2"/>
  <c r="M23" i="5"/>
  <c r="M36" i="5"/>
  <c r="I5" i="5" s="1"/>
  <c r="M47" i="5"/>
  <c r="K7" i="9"/>
  <c r="L7" i="9" s="1"/>
  <c r="M7" i="9" s="1"/>
  <c r="C5" i="5"/>
  <c r="C17" i="2" s="1"/>
  <c r="M60" i="5"/>
  <c r="M71" i="5"/>
  <c r="H9" i="9"/>
  <c r="J9" i="9"/>
  <c r="I9" i="9"/>
  <c r="G9" i="9"/>
  <c r="F9" i="9"/>
  <c r="E9" i="9"/>
  <c r="D9" i="9"/>
  <c r="C9" i="9"/>
  <c r="Q4" i="11"/>
  <c r="J14" i="2" s="1"/>
  <c r="C6" i="9"/>
  <c r="E6" i="9"/>
  <c r="D10" i="9"/>
  <c r="F6" i="9"/>
  <c r="G6" i="9"/>
  <c r="D7" i="9"/>
  <c r="E10" i="9"/>
  <c r="E7" i="9"/>
  <c r="D8" i="9"/>
  <c r="F10" i="9"/>
  <c r="C11" i="9"/>
  <c r="C5" i="9"/>
  <c r="I6" i="9"/>
  <c r="F7" i="9"/>
  <c r="C8" i="9"/>
  <c r="G10" i="9"/>
  <c r="D11" i="9"/>
  <c r="K11" i="9" l="1"/>
  <c r="L11" i="9" s="1"/>
  <c r="M11" i="9" s="1"/>
  <c r="L14" i="2"/>
  <c r="N4" i="5"/>
  <c r="J4" i="5"/>
  <c r="E18" i="2"/>
  <c r="E4" i="2"/>
  <c r="K9" i="9"/>
  <c r="L9" i="9" s="1"/>
  <c r="M9" i="9" s="1"/>
  <c r="K12" i="9"/>
  <c r="L12" i="9" s="1"/>
  <c r="M12" i="9" s="1"/>
  <c r="E7" i="2" l="1"/>
  <c r="F8" i="2" s="1"/>
  <c r="B7" i="2"/>
  <c r="M10" i="9"/>
  <c r="L10" i="9"/>
  <c r="K10" i="9"/>
  <c r="H10" i="9"/>
  <c r="L8" i="6"/>
  <c r="M5" i="9"/>
  <c r="L5" i="9"/>
  <c r="K5" i="9"/>
  <c r="H5" i="9"/>
  <c r="H8" i="2"/>
  <c r="G7" i="2"/>
  <c r="L7" i="2"/>
  <c r="I7" i="2"/>
  <c r="L7" i="6"/>
  <c r="H8" i="9"/>
  <c r="K8" i="9"/>
  <c r="L8" i="9"/>
  <c r="M8" i="9"/>
  <c r="M6" i="9"/>
  <c r="L6" i="6"/>
  <c r="H6" i="9"/>
  <c r="K6" i="9"/>
  <c r="L6" i="9"/>
  <c r="L5" i="6"/>
  <c r="W9" i="6"/>
  <c r="J12" i="2"/>
</calcChain>
</file>

<file path=xl/sharedStrings.xml><?xml version="1.0" encoding="utf-8"?>
<sst xmlns="http://schemas.openxmlformats.org/spreadsheetml/2006/main" count="858" uniqueCount="634">
  <si>
    <t>KAZ PP EXPANSION PROJECT  |  EHS MANAGEMENT SYSTEM</t>
  </si>
  <si>
    <t>Integrated Occupational Health, Safety &amp; Environment Control Workbook  |  OSHA KPIs  |  Confidential</t>
  </si>
  <si>
    <t>SYSTEM IDENTITY</t>
  </si>
  <si>
    <t>QUICK STATUS</t>
  </si>
  <si>
    <t>Project Name</t>
  </si>
  <si>
    <t>KAZ PP Expansion Project</t>
  </si>
  <si>
    <t>Today</t>
  </si>
  <si>
    <t>Client / Owner</t>
  </si>
  <si>
    <t>As per Contract</t>
  </si>
  <si>
    <t>File Rev</t>
  </si>
  <si>
    <t>00</t>
  </si>
  <si>
    <t>Main Contractor</t>
  </si>
  <si>
    <t>Team Seisms / Team Al-Mayal Consortium</t>
  </si>
  <si>
    <t>Macro Pack</t>
  </si>
  <si>
    <t>Import VBA_EHS_Module.bas</t>
  </si>
  <si>
    <t>Document Title</t>
  </si>
  <si>
    <t>Integrated EHS Management &amp; Evaluation System</t>
  </si>
  <si>
    <t>Language</t>
  </si>
  <si>
    <t>EN / AR bilingual labels</t>
  </si>
  <si>
    <t>Document No.</t>
  </si>
  <si>
    <t>KAZ-EHS-SYS-001 Rev.00</t>
  </si>
  <si>
    <t>Classification</t>
  </si>
  <si>
    <t>CONFIDENTIAL — Controlled Document</t>
  </si>
  <si>
    <t>Prepared by</t>
  </si>
  <si>
    <t>EHS Department — Project Control</t>
  </si>
  <si>
    <t>Admin Owner</t>
  </si>
  <si>
    <t>EHS Manager (Full Control)</t>
  </si>
  <si>
    <t>Effective Date</t>
  </si>
  <si>
    <t>Workbook Password (Admin)</t>
  </si>
  <si>
    <t>KAZ-EHS-ADMIN-2026</t>
  </si>
  <si>
    <t>WORKSHEET MAP  |  هيكل الشيتات</t>
  </si>
  <si>
    <t>Sheet</t>
  </si>
  <si>
    <t>Purpose / الغرض</t>
  </si>
  <si>
    <t>00_Cover</t>
  </si>
  <si>
    <t>الغلاف والتعريف والصلاحيات</t>
  </si>
  <si>
    <t>01_Dashboard</t>
  </si>
  <si>
    <t>لوحة التحكم ومؤشرات OSHA / KPIs</t>
  </si>
  <si>
    <t>02_ManHours</t>
  </si>
  <si>
    <t>حاسبة ساعات العمل اليومية (Seisms / Al-Mayal)</t>
  </si>
  <si>
    <t>03_Incidents</t>
  </si>
  <si>
    <t>سجل الحوادث والإصابات و Near Miss</t>
  </si>
  <si>
    <t>04_Observations</t>
  </si>
  <si>
    <t>تتبع الملاحظات + Aging + PTW</t>
  </si>
  <si>
    <t>05_NCR</t>
  </si>
  <si>
    <t>إخطارات عدم المطابقة NCR</t>
  </si>
  <si>
    <t>06_Scorecard</t>
  </si>
  <si>
    <t>تقييم أداء المقاولين الثانويين</t>
  </si>
  <si>
    <t>07_CAPA_AI</t>
  </si>
  <si>
    <t>محور تحويل الملاحظات والإجراءات التصحيحية</t>
  </si>
  <si>
    <t>08_Training</t>
  </si>
  <si>
    <t>مصفوفة شهادات العمالة الماهرة</t>
  </si>
  <si>
    <t>09_Equipment</t>
  </si>
  <si>
    <t>تفتيش المعدات الثقيلة وشهادات الطرف الثالث</t>
  </si>
  <si>
    <t>10_Documents</t>
  </si>
  <si>
    <t>مستودع الوثائق والسير الذاتية والخطط</t>
  </si>
  <si>
    <t>11_Lookups</t>
  </si>
  <si>
    <t>قوائم التصنيف والمعايير (لا تعدّل المعادلات)</t>
  </si>
  <si>
    <t>12_Admin</t>
  </si>
  <si>
    <t>إعدادات النظام، الأهداف، البريد، الحماية</t>
  </si>
  <si>
    <t>OSHA FORMULAS USED IN THIS SYSTEM</t>
  </si>
  <si>
    <t>LTIFR (Lost Time Injury Frequency Rate) = (Number of LTIs × 1,000,000) / Total Man-Hours</t>
  </si>
  <si>
    <t>TRIFR (Total Recordable Injury Frequency Rate) = (Recordable Cases × 1,000,000) / Total Man-Hours</t>
  </si>
  <si>
    <t>Severity Rate (optional) = (Lost Workdays × 1,000,000) / Total Man-Hours</t>
  </si>
  <si>
    <t>Man-Hours without LTI = Cumulative man-hours since last LTI date (auto from 02_ManHours &amp; 03_Incidents)</t>
  </si>
  <si>
    <t>SECURITY: Protect workbook &amp; sheets with the Admin password shown above. Yellow cells = INPUT (unlocked). Blue cells = CALCULATED (locked). Import VBA_EHS_Module.bas via Alt+F11 → File → Import. Enable macros. Outlook must be installed for email alerts. Default password: KAZ-EHS-ADMIN-2026  — change it immediately after first open.</t>
  </si>
  <si>
    <t>01  |  EHS DASHBOARD &amp; KPIs  —  KAZ PP EXPANSION PROJECT</t>
  </si>
  <si>
    <t>Live OSHA rates, man-hours without LTI, case counters, observation aging, contractor scores. Calculated cells are locked.</t>
  </si>
  <si>
    <t>Report date</t>
  </si>
  <si>
    <t>Total Man-Hours</t>
  </si>
  <si>
    <t>Last LTI</t>
  </si>
  <si>
    <t>MAN-HOURS w/o LTI</t>
  </si>
  <si>
    <t>LTIFR</t>
  </si>
  <si>
    <t>TRIFR</t>
  </si>
  <si>
    <t>EHS PERFORMANCE SCORE</t>
  </si>
  <si>
    <t>PERFORMANCE BAND</t>
  </si>
  <si>
    <t>Target LTIFR</t>
  </si>
  <si>
    <t>vs Target</t>
  </si>
  <si>
    <t>CASE &amp; OBSERVATION COUNTERS (auto from registers)</t>
  </si>
  <si>
    <t>Near Miss</t>
  </si>
  <si>
    <t>Unsafe Acts</t>
  </si>
  <si>
    <t>Unsafe Conditions</t>
  </si>
  <si>
    <t>First Aid</t>
  </si>
  <si>
    <t>Recordable</t>
  </si>
  <si>
    <t>LTI</t>
  </si>
  <si>
    <t>NCR Open</t>
  </si>
  <si>
    <t>OBS Open</t>
  </si>
  <si>
    <t>OBS Overdue</t>
  </si>
  <si>
    <t>OBS Critical open</t>
  </si>
  <si>
    <t>Cert Expired/Crit.</t>
  </si>
  <si>
    <t>Equip Quarantine+</t>
  </si>
  <si>
    <t>MAN-HOURS SPLIT</t>
  </si>
  <si>
    <t>TOP OVERDUE OBSERVATIONS (aging)</t>
  </si>
  <si>
    <t>Team Seisms</t>
  </si>
  <si>
    <t>Team Al-Mayal</t>
  </si>
  <si>
    <t>Use sheet Observations, sort by Overdue Days. Open items escalate every calendar day until Closed.</t>
  </si>
  <si>
    <t>Indirect</t>
  </si>
  <si>
    <t>Unified Total</t>
  </si>
  <si>
    <t>LIFE-SAVING FOCUS AREAS (from observation types — count)</t>
  </si>
  <si>
    <t>Type</t>
  </si>
  <si>
    <t>Count</t>
  </si>
  <si>
    <t>Lifting Operations</t>
  </si>
  <si>
    <t>Working at Height</t>
  </si>
  <si>
    <t>Excavation</t>
  </si>
  <si>
    <t>Scaffolding</t>
  </si>
  <si>
    <t>Confined Space</t>
  </si>
  <si>
    <t>Electrical</t>
  </si>
  <si>
    <t>Work Permits / PTW</t>
  </si>
  <si>
    <t>MACRO ACTIONS (after importing VBA_EHS_Module.bas):  EHS_SendCriticalAlert  |  EHS_SendNCRAlert  |  EHS_ExportWeeklyPDF  |  EHS_ProtectAll  |  EHS_UnprotectAll  |  EHS_RefreshAging</t>
  </si>
  <si>
    <t>11  |  LOOKUP TABLES &amp; CLASSIFICATIONS</t>
  </si>
  <si>
    <t>Do not delete named lists. Used by data validation across the workbook.</t>
  </si>
  <si>
    <t>Observation Types</t>
  </si>
  <si>
    <t>Status</t>
  </si>
  <si>
    <t>Severity</t>
  </si>
  <si>
    <t>Subcontractors</t>
  </si>
  <si>
    <t>Incident Class</t>
  </si>
  <si>
    <t>Trade / Certificate Type</t>
  </si>
  <si>
    <t>Equipment Type</t>
  </si>
  <si>
    <t>Teams</t>
  </si>
  <si>
    <t>Shift</t>
  </si>
  <si>
    <t>Open</t>
  </si>
  <si>
    <t>Low</t>
  </si>
  <si>
    <t>Crane Operator</t>
  </si>
  <si>
    <t>Mobile Crane</t>
  </si>
  <si>
    <t>Day</t>
  </si>
  <si>
    <t>In Progress</t>
  </si>
  <si>
    <t>Medium</t>
  </si>
  <si>
    <t>Unsafe Act</t>
  </si>
  <si>
    <t>Rigger / Banksman</t>
  </si>
  <si>
    <t>Tower Crane</t>
  </si>
  <si>
    <t>Night</t>
  </si>
  <si>
    <t>Closed</t>
  </si>
  <si>
    <t>High</t>
  </si>
  <si>
    <t>Civil Subcontractor A</t>
  </si>
  <si>
    <t>Unsafe Condition</t>
  </si>
  <si>
    <t>First Aider / EMT</t>
  </si>
  <si>
    <t>MEWP / Manlift</t>
  </si>
  <si>
    <t>Shared / Indirect</t>
  </si>
  <si>
    <t>Double</t>
  </si>
  <si>
    <t>Overdue</t>
  </si>
  <si>
    <t>Critical</t>
  </si>
  <si>
    <t>Mechanical Subcontractor B</t>
  </si>
  <si>
    <t>Welder</t>
  </si>
  <si>
    <t>Forklift</t>
  </si>
  <si>
    <t>Electrical Subcontractor C</t>
  </si>
  <si>
    <t>Medical Treatment (MTC)</t>
  </si>
  <si>
    <t>Scaffolder</t>
  </si>
  <si>
    <t>Excavator</t>
  </si>
  <si>
    <t>Scaffolding Contractor D</t>
  </si>
  <si>
    <t>Restricted Work (RWC)</t>
  </si>
  <si>
    <t>Electrician</t>
  </si>
  <si>
    <t>Loader</t>
  </si>
  <si>
    <t>Lifting Contractor E</t>
  </si>
  <si>
    <t>Lost Time Injury (LTI)</t>
  </si>
  <si>
    <t>Confined Space Entrant</t>
  </si>
  <si>
    <t>Dump Truck</t>
  </si>
  <si>
    <t>Hot Work</t>
  </si>
  <si>
    <t>Security Contractor F</t>
  </si>
  <si>
    <t>Recordable Case</t>
  </si>
  <si>
    <t>H2S / BA User</t>
  </si>
  <si>
    <t>Generator</t>
  </si>
  <si>
    <t>Housekeeping</t>
  </si>
  <si>
    <t>Property Damage</t>
  </si>
  <si>
    <t>Forklift Operator</t>
  </si>
  <si>
    <t>Compressor</t>
  </si>
  <si>
    <t>PPE</t>
  </si>
  <si>
    <t>Environmental Incident</t>
  </si>
  <si>
    <t>Excavator Operator</t>
  </si>
  <si>
    <t>Welding Machine</t>
  </si>
  <si>
    <t>Traffic / Vehicles</t>
  </si>
  <si>
    <t>Security Incident</t>
  </si>
  <si>
    <t>Fire Watch</t>
  </si>
  <si>
    <t>Scaffold Tower</t>
  </si>
  <si>
    <t>Chemical / HAZMAT</t>
  </si>
  <si>
    <t>Fatality</t>
  </si>
  <si>
    <t>EHS Officer</t>
  </si>
  <si>
    <t>Lifting Gear (slings/shackles)</t>
  </si>
  <si>
    <t>Fire Prevention</t>
  </si>
  <si>
    <t>EHS Supervisor</t>
  </si>
  <si>
    <t>Environmental</t>
  </si>
  <si>
    <t>EHS Manager</t>
  </si>
  <si>
    <t>Security</t>
  </si>
  <si>
    <t>PTW Receiver</t>
  </si>
  <si>
    <t>Welfare</t>
  </si>
  <si>
    <t>Authorized Gas Tester</t>
  </si>
  <si>
    <t>Barricades / Signage</t>
  </si>
  <si>
    <t>Tools &amp; Equipment</t>
  </si>
  <si>
    <t>Energy Isolation / LOTO</t>
  </si>
  <si>
    <t>Other</t>
  </si>
  <si>
    <t>Risk Matrix Score (S×L)</t>
  </si>
  <si>
    <t>Likelihood 1-5 × Severity 1-5. Score &gt;=15 Critical, &gt;=10 High, &gt;=5 Medium, else Low.</t>
  </si>
  <si>
    <t>12  |  SYSTEM ADMINISTRATION &amp; TARGETS</t>
  </si>
  <si>
    <t>Yellow = editable settings. Used by Dashboard, Scorecard, VBA email and PDF export.</t>
  </si>
  <si>
    <t>PARAMETER</t>
  </si>
  <si>
    <t>VALUE</t>
  </si>
  <si>
    <t>NOTES</t>
  </si>
  <si>
    <t>Project Title</t>
  </si>
  <si>
    <t>Shown on reports</t>
  </si>
  <si>
    <t>Hours per worker per day (default)</t>
  </si>
  <si>
    <t>Used if shift hours blank</t>
  </si>
  <si>
    <t>OSHA multiplier</t>
  </si>
  <si>
    <t>Do not change (OSHA 200,000 optional)</t>
  </si>
  <si>
    <t>LTIFR Target</t>
  </si>
  <si>
    <t>Project target</t>
  </si>
  <si>
    <t>TRIFR Target</t>
  </si>
  <si>
    <t>Observation close-out SLA (days)</t>
  </si>
  <si>
    <t>Aging overdue after this</t>
  </si>
  <si>
    <t>Critical observation SLA (days)</t>
  </si>
  <si>
    <t>1 day — stored as 1</t>
  </si>
  <si>
    <t>Certificate warning (days)</t>
  </si>
  <si>
    <t>Conditional formatting</t>
  </si>
  <si>
    <t>Certificate critical (days)</t>
  </si>
  <si>
    <t>Red alert</t>
  </si>
  <si>
    <t>NCR close-out SLA (days)</t>
  </si>
  <si>
    <t>Scorecard: points per Open obs</t>
  </si>
  <si>
    <t>Negative</t>
  </si>
  <si>
    <t>Scorecard: points per Overdue obs</t>
  </si>
  <si>
    <t>Scorecard: points per NCR</t>
  </si>
  <si>
    <t>Scorecard: points per LTI</t>
  </si>
  <si>
    <t>Scorecard: points per Recordable</t>
  </si>
  <si>
    <t>Scorecard: points per Near Miss (positive reporting)</t>
  </si>
  <si>
    <t>Encourage reporting</t>
  </si>
  <si>
    <t>Scorecard starting points</t>
  </si>
  <si>
    <t>Baseline</t>
  </si>
  <si>
    <t>Minimum score floor</t>
  </si>
  <si>
    <t>Outlook To (Project Management)</t>
  </si>
  <si>
    <t>pm@kaz-pp.example; ehs.manager@kaz-pp.example</t>
  </si>
  <si>
    <t>Semicolon separated</t>
  </si>
  <si>
    <t>Outlook CC (EHS)</t>
  </si>
  <si>
    <t>ehs.team@kaz-pp.example</t>
  </si>
  <si>
    <t>Send mail on Critical Incident</t>
  </si>
  <si>
    <t>YES</t>
  </si>
  <si>
    <t>YES/NO</t>
  </si>
  <si>
    <t>Send mail on new NCR</t>
  </si>
  <si>
    <t>Weekly report folder path</t>
  </si>
  <si>
    <t>C:\EHS_Reports\KAZ_PP</t>
  </si>
  <si>
    <t>PDF export path</t>
  </si>
  <si>
    <t>OpenAI API Key (optional)</t>
  </si>
  <si>
    <t>Leave blank to use local CAPA engine</t>
  </si>
  <si>
    <t>OpenAI Model</t>
  </si>
  <si>
    <t>gpt-4o-mini</t>
  </si>
  <si>
    <t>If API used</t>
  </si>
  <si>
    <t>Admin password hint</t>
  </si>
  <si>
    <t>See Cover sheet I14 / C14</t>
  </si>
  <si>
    <t>Never share</t>
  </si>
  <si>
    <t>Last LTI Date (override if needed)</t>
  </si>
  <si>
    <t>Leave blank to auto from Incidents</t>
  </si>
  <si>
    <t>Site location</t>
  </si>
  <si>
    <t>KAZ PP Site</t>
  </si>
  <si>
    <t>PROJECT EHS PERFORMANCE BANDS (used on Dashboard)</t>
  </si>
  <si>
    <t>From score</t>
  </si>
  <si>
    <t>Band</t>
  </si>
  <si>
    <t>Excellent</t>
  </si>
  <si>
    <t>A — Excellent (Green)</t>
  </si>
  <si>
    <t>Satisfactory</t>
  </si>
  <si>
    <t>B — Satisfactory</t>
  </si>
  <si>
    <t>Needs Improvement</t>
  </si>
  <si>
    <t>C — Needs Improvement</t>
  </si>
  <si>
    <t>Unsatisfactory</t>
  </si>
  <si>
    <t>D — Unsatisfactory / Stop Work review</t>
  </si>
  <si>
    <t>VBA BUTTONS (after importing .bas): Alt+F8 → EHS_SendCriticalAlert / EHS_ExportWeeklyPDF / EHS_ProtectAll / EHS_UnprotectAll / EHS_RefreshAging / EHS_FormatObservation</t>
  </si>
  <si>
    <t>02  |  DAILY MAN-HOURS CALCULATOR</t>
  </si>
  <si>
    <t>Input daily headcount for Team Seisms and Team Al-Mayal. One consolidated total in cell P4 (and Dashboard).</t>
  </si>
  <si>
    <t>CONSOLIDATED PROJECT TOTAL MAN-HOURS</t>
  </si>
  <si>
    <t>Hours / worker default →</t>
  </si>
  <si>
    <t>ONE CELL — TOTAL MAN-HOURS (ALL DAYS, BOTH TEAMS)</t>
  </si>
  <si>
    <t>Seisms Σ</t>
  </si>
  <si>
    <t>Σ Seisms MH</t>
  </si>
  <si>
    <t>Σ Al-Mayal MH</t>
  </si>
  <si>
    <t>Σ Indirect</t>
  </si>
  <si>
    <t>GRAND TOTAL (unified cell)</t>
  </si>
  <si>
    <t>This I5 is the single consolidated man-hours output used by Dashboard KPIs.</t>
  </si>
  <si>
    <t>Yellow = input headcount. Blue = calculated man-hours. Copy formulas down as the project continues.</t>
  </si>
  <si>
    <t>Date</t>
  </si>
  <si>
    <t>Seisms Headcount</t>
  </si>
  <si>
    <t>Seisms Hrs/person</t>
  </si>
  <si>
    <t>Seisms Man-Hours</t>
  </si>
  <si>
    <t>Al-Mayal Headcount</t>
  </si>
  <si>
    <t>Al-Mayal Hrs/person</t>
  </si>
  <si>
    <t>Al-Mayal Man-Hours</t>
  </si>
  <si>
    <t>Indirect / Visitors</t>
  </si>
  <si>
    <t>Indirect Hours</t>
  </si>
  <si>
    <t>DAILY TOTAL MH</t>
  </si>
  <si>
    <t>Remarks</t>
  </si>
  <si>
    <t>Entered by</t>
  </si>
  <si>
    <t>Weather / Notes</t>
  </si>
  <si>
    <t>EHS</t>
  </si>
  <si>
    <t>03  |  INCIDENT &amp; CASE REGISTER (OSHA CLASSIFICATION)</t>
  </si>
  <si>
    <t>Record Near Miss, Unsafe Acts/Conditions, First Aid, Recordable, LTI. Feeds Dashboard counters and rates.</t>
  </si>
  <si>
    <t>KPI COUNTERS (auto) — Near Miss | Unsafe Act | Unsafe Condition | First Aid | Recordable | LTI | Open cases</t>
  </si>
  <si>
    <t>INC-ID</t>
  </si>
  <si>
    <t>Time</t>
  </si>
  <si>
    <t>Location / Area</t>
  </si>
  <si>
    <t>Subcontractor</t>
  </si>
  <si>
    <t>PTW No.</t>
  </si>
  <si>
    <t>Injured / Involved</t>
  </si>
  <si>
    <t>Body Part</t>
  </si>
  <si>
    <t>Lost Days</t>
  </si>
  <si>
    <t>Recordable? (Y/N)</t>
  </si>
  <si>
    <t>LTI? (Y/N)</t>
  </si>
  <si>
    <t>Description</t>
  </si>
  <si>
    <t>Immediate Action</t>
  </si>
  <si>
    <t>Root Cause</t>
  </si>
  <si>
    <t>Investigation Lead</t>
  </si>
  <si>
    <t>Closed Date</t>
  </si>
  <si>
    <t>COUNTERS</t>
  </si>
  <si>
    <t>INC-001</t>
  </si>
  <si>
    <t>08:40</t>
  </si>
  <si>
    <t>Unit 2 Pipe Rack</t>
  </si>
  <si>
    <t>PTW-0142</t>
  </si>
  <si>
    <t>N/A</t>
  </si>
  <si>
    <t>Load swung within 2m of live line during tandem lift</t>
  </si>
  <si>
    <t>Stop work, re-plan lift</t>
  </si>
  <si>
    <t>Inadequate exclusion zone</t>
  </si>
  <si>
    <t>EHS Off. Ali</t>
  </si>
  <si>
    <t>INC-002</t>
  </si>
  <si>
    <t>14:15</t>
  </si>
  <si>
    <t>Excavation Grid C</t>
  </si>
  <si>
    <t>PTW-0188</t>
  </si>
  <si>
    <t>Excavation &gt;1.2m without shoring / ladder</t>
  </si>
  <si>
    <t>Barrier + backfill temporary</t>
  </si>
  <si>
    <t>PTW controls not implemented</t>
  </si>
  <si>
    <t>EHS Off. Omar</t>
  </si>
  <si>
    <t>INC-003</t>
  </si>
  <si>
    <t>11:05</t>
  </si>
  <si>
    <t>Workshop</t>
  </si>
  <si>
    <t>PTW-0210</t>
  </si>
  <si>
    <t>Worker #442</t>
  </si>
  <si>
    <t>Hand</t>
  </si>
  <si>
    <t>Minor cut while using utility knife without cut-resistant glove</t>
  </si>
  <si>
    <t>First aid, replace glove</t>
  </si>
  <si>
    <t>PPE gap</t>
  </si>
  <si>
    <t>Nurse</t>
  </si>
  <si>
    <t>INC-004</t>
  </si>
  <si>
    <t>16:20</t>
  </si>
  <si>
    <t>Scaffold Bay 4</t>
  </si>
  <si>
    <t>PTW-0225</t>
  </si>
  <si>
    <t>Worker climbing scaffold without harness attached</t>
  </si>
  <si>
    <t>Stopped, TBT refresh</t>
  </si>
  <si>
    <t>Behavior / supervision</t>
  </si>
  <si>
    <t>EHS Sup. Hassan</t>
  </si>
  <si>
    <t>Fatalities</t>
  </si>
  <si>
    <t>Last LTI Date</t>
  </si>
  <si>
    <t>Lost days sum</t>
  </si>
  <si>
    <t>04  |  OBSERVATION TRACKER &amp; AGING SYSTEM</t>
  </si>
  <si>
    <t>Overdue Days escalate daily while status is Open / In Progress. Frequency Count = repeats of same type + area + contractor.</t>
  </si>
  <si>
    <t>OBS-ID</t>
  </si>
  <si>
    <t>PTW Number</t>
  </si>
  <si>
    <t>Observation (raw)</t>
  </si>
  <si>
    <t>Action Owner</t>
  </si>
  <si>
    <t>Target Close</t>
  </si>
  <si>
    <t>Overdue Days</t>
  </si>
  <si>
    <t>Frequency Count</t>
  </si>
  <si>
    <t>Repeat Flag</t>
  </si>
  <si>
    <t>Reported by</t>
  </si>
  <si>
    <t>NCR Linked</t>
  </si>
  <si>
    <t>Risk Score</t>
  </si>
  <si>
    <t>OBS KPIs</t>
  </si>
  <si>
    <t>OBS-001</t>
  </si>
  <si>
    <t>PTW-0101</t>
  </si>
  <si>
    <t>Laydown A</t>
  </si>
  <si>
    <t>Tag line not used on 12t load</t>
  </si>
  <si>
    <t>Stop lift, toolbox</t>
  </si>
  <si>
    <t>Lift Sup.</t>
  </si>
  <si>
    <t>Ahmed</t>
  </si>
  <si>
    <t>Total</t>
  </si>
  <si>
    <t>OBS-002</t>
  </si>
  <si>
    <t>PTW-0155</t>
  </si>
  <si>
    <t>Boiler roof</t>
  </si>
  <si>
    <t>Unprotected edge 8m, no harness anchorage</t>
  </si>
  <si>
    <t>Barrier 2m, stop work</t>
  </si>
  <si>
    <t>Site Eng.</t>
  </si>
  <si>
    <t>Sara</t>
  </si>
  <si>
    <t>OBS-003</t>
  </si>
  <si>
    <t>PTW-0160</t>
  </si>
  <si>
    <t>Grid B-4</t>
  </si>
  <si>
    <t>Spoil stored at edge of 2.1m trench</t>
  </si>
  <si>
    <t>Move spoil 1m, shore</t>
  </si>
  <si>
    <t>Civil Sup.</t>
  </si>
  <si>
    <t>Omar</t>
  </si>
  <si>
    <t>OBS-004</t>
  </si>
  <si>
    <t>PTW-0172</t>
  </si>
  <si>
    <t>Substation</t>
  </si>
  <si>
    <t>PTW expired, work continuing</t>
  </si>
  <si>
    <t>Stop, reissue PTW</t>
  </si>
  <si>
    <t>EA</t>
  </si>
  <si>
    <t>Hassan</t>
  </si>
  <si>
    <t>OBS-005</t>
  </si>
  <si>
    <t>PTW-0180</t>
  </si>
  <si>
    <t>Pipe rack 3</t>
  </si>
  <si>
    <t>Incomplete scaffold — no toe boards, green tag on red</t>
  </si>
  <si>
    <t>Red tag, dismantle</t>
  </si>
  <si>
    <t>Scaffold I</t>
  </si>
  <si>
    <t>Ali</t>
  </si>
  <si>
    <t>Overdue (days&gt;0)</t>
  </si>
  <si>
    <t>OBS-006</t>
  </si>
  <si>
    <t>PTW-0184</t>
  </si>
  <si>
    <t>Out of date color code on sling</t>
  </si>
  <si>
    <t>Quarantine sling</t>
  </si>
  <si>
    <t>Store</t>
  </si>
  <si>
    <t>Critical open</t>
  </si>
  <si>
    <t>OBS-007</t>
  </si>
  <si>
    <t>PTW-0190</t>
  </si>
  <si>
    <t>MCC room</t>
  </si>
  <si>
    <t>Panel open, no electrical barrier, live</t>
  </si>
  <si>
    <t>Isolate, LOTO</t>
  </si>
  <si>
    <t>Elec Sup.</t>
  </si>
  <si>
    <t>Nour</t>
  </si>
  <si>
    <t>OBS-008</t>
  </si>
  <si>
    <t>PTW-0199</t>
  </si>
  <si>
    <t>Tank T-12</t>
  </si>
  <si>
    <t>Entry without gas test / attendant</t>
  </si>
  <si>
    <t>Evacuate, CS procedure</t>
  </si>
  <si>
    <t>EHS Mgr</t>
  </si>
  <si>
    <t>05  |  NON-CONFORMANCE REPORTS (NCR)</t>
  </si>
  <si>
    <t>New NCR can trigger Outlook email via VBA (EHS_SendNCRAlert). Links to subcontractors scorecard.</t>
  </si>
  <si>
    <t>NCR-ID</t>
  </si>
  <si>
    <t>Source (OBS/INC)</t>
  </si>
  <si>
    <t>Finding</t>
  </si>
  <si>
    <t>Required Action</t>
  </si>
  <si>
    <t>Owner</t>
  </si>
  <si>
    <t>Priority</t>
  </si>
  <si>
    <t>Target Date</t>
  </si>
  <si>
    <t>Days Open</t>
  </si>
  <si>
    <t>Issued by</t>
  </si>
  <si>
    <t>Related PTW</t>
  </si>
  <si>
    <t>Open NCRs</t>
  </si>
  <si>
    <t>NCR-001</t>
  </si>
  <si>
    <t>Unprotected edge WAH — systemic PTW failure</t>
  </si>
  <si>
    <t>Revise WAH permit checklist; retrain crew; barrier standard</t>
  </si>
  <si>
    <t>Construction Mgr</t>
  </si>
  <si>
    <t>NCR-002</t>
  </si>
  <si>
    <t>Confined space entry without atmospheric test</t>
  </si>
  <si>
    <t>Stop CS work; full CS procedure rollout; competency cards</t>
  </si>
  <si>
    <t>Mech PM</t>
  </si>
  <si>
    <t>06  |  SUBCONTRACTOR EHS SCORECARD</t>
  </si>
  <si>
    <t>Automatic scoring from Observations, Incidents and NCRs. Baseline 100. Floor = Admin minimum.</t>
  </si>
  <si>
    <t>Open OBS</t>
  </si>
  <si>
    <t>Overdue OBS</t>
  </si>
  <si>
    <t>Total OBS</t>
  </si>
  <si>
    <t>NCRs</t>
  </si>
  <si>
    <t>Raw Penalty/Bonus</t>
  </si>
  <si>
    <t>SCORE /100</t>
  </si>
  <si>
    <t>Trend / Comment</t>
  </si>
  <si>
    <t>Scoring model: Start at Admin!C21 (default 100). Open OBS, Overdue, NCR, LTI, Recordable subtract points. Near Miss reporting adds points (positive reporting culture).</t>
  </si>
  <si>
    <t>07  |  AI CORRECTIVE ACTION &amp; CONVERSION HUB</t>
  </si>
  <si>
    <t>Paste raw notes in column C. VBA EHS_FormatObservation converts to official EHS wording + CAPA. Optional OpenAI API in Admin!C28.</t>
  </si>
  <si>
    <t>HOW TO USE</t>
  </si>
  <si>
    <t>1) Enter RAW note in C (yellow). 2) Select the row and run macro EHS_FormatObservation (or click after importing VBA). 3) Column D receives official bilingual-style EHS observation. Column E receives CAPA (Corrective &amp; Preventive). 4) If Admin API key is blank, a built-in rule engine (keywords: lift, scaffold, excav, confined, electrical, PTW, height, PPE) is used. 5) Copy D/E into Observations tracker.</t>
  </si>
  <si>
    <t>CAPA-ID</t>
  </si>
  <si>
    <t>RAW NOTES (input)</t>
  </si>
  <si>
    <t>FORMATTED EHS OBSERVATION (output)</t>
  </si>
  <si>
    <t>CAPA — Corrective &amp; Preventive Action (output)</t>
  </si>
  <si>
    <t>Suggested Type</t>
  </si>
  <si>
    <t>Suggested Severity</t>
  </si>
  <si>
    <t>Push status</t>
  </si>
  <si>
    <t>CAPA-001</t>
  </si>
  <si>
    <t>guys working on roof no harness and edge open next to boiler</t>
  </si>
  <si>
    <t>Draft</t>
  </si>
  <si>
    <t>CAPA-002</t>
  </si>
  <si>
    <t>excavator digging beside live 11kv cable no spotter ptw not on site</t>
  </si>
  <si>
    <t>CAPA-003</t>
  </si>
  <si>
    <t>sling colour code expired and tag line missing tandem lift</t>
  </si>
  <si>
    <t>CAPA-004</t>
  </si>
  <si>
    <t>confined tank someone went in no gas test no standby man</t>
  </si>
  <si>
    <t>CAPA-005</t>
  </si>
  <si>
    <t>scaffold green tag but no toeboard and missing ties</t>
  </si>
  <si>
    <t>08  |  TRAINING &amp; COMPETENCY MATRIX (SKILLED LABOUR)</t>
  </si>
  <si>
    <t>Conditional colour: GREEN valid | AMBER ≤30 days | RED ≤7 days or expired. Warning window = Admin!C12.</t>
  </si>
  <si>
    <t>EMP-ID</t>
  </si>
  <si>
    <t>Full Name</t>
  </si>
  <si>
    <t>Badge / ID</t>
  </si>
  <si>
    <t>Trade / Certificate</t>
  </si>
  <si>
    <t>Employer</t>
  </si>
  <si>
    <t>Cert No.</t>
  </si>
  <si>
    <t>Issue Date</t>
  </si>
  <si>
    <t>Expiry Date</t>
  </si>
  <si>
    <t>Days to Expiry</t>
  </si>
  <si>
    <t>Provider / 3rd Party</t>
  </si>
  <si>
    <t>Refresh due</t>
  </si>
  <si>
    <t>Expired / Critical count</t>
  </si>
  <si>
    <t>EMP-001</t>
  </si>
  <si>
    <t>Mohammed Al-Farsi</t>
  </si>
  <si>
    <t>KAZ-1021</t>
  </si>
  <si>
    <t>CO-8891</t>
  </si>
  <si>
    <t>Warning ≤30d</t>
  </si>
  <si>
    <t>EMP-002</t>
  </si>
  <si>
    <t>Yousef Nasser</t>
  </si>
  <si>
    <t>KAZ-1022</t>
  </si>
  <si>
    <t>RG-4410</t>
  </si>
  <si>
    <t>EMP-003</t>
  </si>
  <si>
    <t>Fatima Saleh</t>
  </si>
  <si>
    <t>KAZ-0880</t>
  </si>
  <si>
    <t>FA-2201</t>
  </si>
  <si>
    <t>EMP-004</t>
  </si>
  <si>
    <t>Karim Haddad</t>
  </si>
  <si>
    <t>KAZ-1304</t>
  </si>
  <si>
    <t>W-AWS-77</t>
  </si>
  <si>
    <t>EMP-005</t>
  </si>
  <si>
    <t>Sami Qasim</t>
  </si>
  <si>
    <t>KAZ-1502</t>
  </si>
  <si>
    <t>SC-CISRS-19</t>
  </si>
  <si>
    <t>EMP-006</t>
  </si>
  <si>
    <t>Nabil Othman</t>
  </si>
  <si>
    <t>KAZ-1110</t>
  </si>
  <si>
    <t>EL-440</t>
  </si>
  <si>
    <t>EMP-007</t>
  </si>
  <si>
    <t>Hassan Ibrahim</t>
  </si>
  <si>
    <t>KAZ-0991</t>
  </si>
  <si>
    <t>NEBOSH-GC-882</t>
  </si>
  <si>
    <t>EMP-008</t>
  </si>
  <si>
    <t>Omar Farouk</t>
  </si>
  <si>
    <t>KAZ-0772</t>
  </si>
  <si>
    <t>AGT-12</t>
  </si>
  <si>
    <t>09  |  HEAVY EQUIPMENT INSPECTION &amp; 3RD PARTY CERTIFICATES</t>
  </si>
  <si>
    <t>Colour alerts 30 days before certificate / inspection expiry. Quarantine if expired.</t>
  </si>
  <si>
    <t>Asset ID</t>
  </si>
  <si>
    <t>Make / Model</t>
  </si>
  <si>
    <t>Owner / Contractor</t>
  </si>
  <si>
    <t>Plate / Serial</t>
  </si>
  <si>
    <t>3rd Party Cert No.</t>
  </si>
  <si>
    <t>Cert Expiry</t>
  </si>
  <si>
    <t>Days to Cert</t>
  </si>
  <si>
    <t>Last Inspection</t>
  </si>
  <si>
    <t>Next Inspection</t>
  </si>
  <si>
    <t>Days to Insp.</t>
  </si>
  <si>
    <t>Operator EMP-ID</t>
  </si>
  <si>
    <t>CRN-01</t>
  </si>
  <si>
    <t>Liebherr LTM 1100</t>
  </si>
  <si>
    <t>SN-8821</t>
  </si>
  <si>
    <t>TPI-CR-2025-09</t>
  </si>
  <si>
    <t>EXC-04</t>
  </si>
  <si>
    <t>CAT 336</t>
  </si>
  <si>
    <t>SN-336-12</t>
  </si>
  <si>
    <t>TPI-EX-2025-11</t>
  </si>
  <si>
    <t>MEWP-2</t>
  </si>
  <si>
    <t>JLG 600SJ</t>
  </si>
  <si>
    <t>SN-600-77</t>
  </si>
  <si>
    <t>TPI-MW-2025-08</t>
  </si>
  <si>
    <t>GEN-03</t>
  </si>
  <si>
    <t>Cummins 250kVA</t>
  </si>
  <si>
    <t>SN-CU-250</t>
  </si>
  <si>
    <t>TPI-GN-2025-01</t>
  </si>
  <si>
    <t>FLT-01</t>
  </si>
  <si>
    <t>Toyota 8FD</t>
  </si>
  <si>
    <t>SN-TY-19</t>
  </si>
  <si>
    <t>TPI-FL-2025-12</t>
  </si>
  <si>
    <t>10  |  DOCUMENT &amp; CV HUB</t>
  </si>
  <si>
    <t>Hyperlink path or SharePoint/OneDrive URL in column G. EHS staff CVs, HSE Plan, Security Plan, PTW Manual.</t>
  </si>
  <si>
    <t>DOC-ID</t>
  </si>
  <si>
    <t>Category</t>
  </si>
  <si>
    <t>Title / Name</t>
  </si>
  <si>
    <t>Rev</t>
  </si>
  <si>
    <t>Link / Path (Ctrl+K)</t>
  </si>
  <si>
    <t>Related Person / Area</t>
  </si>
  <si>
    <t>Notes</t>
  </si>
  <si>
    <t>DOC-001</t>
  </si>
  <si>
    <t>HSE Plan</t>
  </si>
  <si>
    <t>KAZ Project EHS Plan</t>
  </si>
  <si>
    <t>02</t>
  </si>
  <si>
    <t>KAZ Project EHS Plan.pdf</t>
  </si>
  <si>
    <t>Approved</t>
  </si>
  <si>
    <t>Project-wide</t>
  </si>
  <si>
    <t>DOC-002</t>
  </si>
  <si>
    <t>Security Plan</t>
  </si>
  <si>
    <t>KAZ Security Management Plan</t>
  </si>
  <si>
    <t>Security Lead</t>
  </si>
  <si>
    <t>01</t>
  </si>
  <si>
    <t>خطه السكيورتي.docx</t>
  </si>
  <si>
    <t>DOC-003</t>
  </si>
  <si>
    <t>PTW Manual</t>
  </si>
  <si>
    <t>Permit to Work System Manual (Final)</t>
  </si>
  <si>
    <t>Final</t>
  </si>
  <si>
    <t>بيرمت سستم (Final).docx</t>
  </si>
  <si>
    <t>All workfaces</t>
  </si>
  <si>
    <t>DOC-004</t>
  </si>
  <si>
    <t>Policy</t>
  </si>
  <si>
    <t>EHS Policy (EN)</t>
  </si>
  <si>
    <t>Corporate EHS</t>
  </si>
  <si>
    <t>—</t>
  </si>
  <si>
    <t>Annex 1_EHS Policy_en (2).pdf</t>
  </si>
  <si>
    <t>Corporate</t>
  </si>
  <si>
    <t>DOC-005</t>
  </si>
  <si>
    <t>Quality Policy (EN)</t>
  </si>
  <si>
    <t>QA</t>
  </si>
  <si>
    <t>Annex 1_SE Quality Policy_en (4).pdf</t>
  </si>
  <si>
    <t>DOC-006</t>
  </si>
  <si>
    <t>Procedure</t>
  </si>
  <si>
    <t>EHS General Requirements for Contractors</t>
  </si>
  <si>
    <t>EN</t>
  </si>
  <si>
    <t>Instruction_EHS General Requirements for Contractors_EN.pdf</t>
  </si>
  <si>
    <t>DOC-007</t>
  </si>
  <si>
    <t>Standard</t>
  </si>
  <si>
    <t>EHS Principles and core responsibilities</t>
  </si>
  <si>
    <t>Standard_EHS Principles and core responsibilities_EN (9).pdf</t>
  </si>
  <si>
    <t>All staff</t>
  </si>
  <si>
    <t>DOC-008</t>
  </si>
  <si>
    <t>Risk</t>
  </si>
  <si>
    <t>KAZ Project Risk Analysis</t>
  </si>
  <si>
    <t>KAZ Project Risk Analysis.pdf</t>
  </si>
  <si>
    <t>DOC-009</t>
  </si>
  <si>
    <t>CV — EHS Staff</t>
  </si>
  <si>
    <t>EHS Manager CV (place file)</t>
  </si>
  <si>
    <t>HR / EHS</t>
  </si>
  <si>
    <t>CVs\EHS_Manager.pdf</t>
  </si>
  <si>
    <t>Live</t>
  </si>
  <si>
    <t>DOC-010</t>
  </si>
  <si>
    <t>EHS Officer — Hassan Ibrahim CV</t>
  </si>
  <si>
    <t>CVs\EHS_Officer_Hassan.pdf</t>
  </si>
  <si>
    <t>DOC-011</t>
  </si>
  <si>
    <t>EHS Supervisor CV (place file)</t>
  </si>
  <si>
    <t>CVs\EHS_Supervisor.pdf</t>
  </si>
  <si>
    <t>DOC-012</t>
  </si>
  <si>
    <t>Form</t>
  </si>
  <si>
    <t>Near-Miss Report Form</t>
  </si>
  <si>
    <t>000480_Near-Miss Report Form.docx</t>
  </si>
  <si>
    <t>Incidents</t>
  </si>
  <si>
    <t>DOC-013</t>
  </si>
  <si>
    <t>Checklist</t>
  </si>
  <si>
    <t>EHS Officer Site Checklist</t>
  </si>
  <si>
    <t>EHS Officer site check list.xlsx</t>
  </si>
  <si>
    <t>Inspections</t>
  </si>
  <si>
    <t>DOC-014</t>
  </si>
  <si>
    <t>Report</t>
  </si>
  <si>
    <t>Daily EHS Report template</t>
  </si>
  <si>
    <t>2026</t>
  </si>
  <si>
    <t>Daily EHS Report 2026.xlsx</t>
  </si>
  <si>
    <t>Daily</t>
  </si>
  <si>
    <t>DOC-015</t>
  </si>
  <si>
    <t>Materials</t>
  </si>
  <si>
    <t>Materials Management Plan (Final)</t>
  </si>
  <si>
    <t>Logistics</t>
  </si>
  <si>
    <t>خطه اداره المواد (Final).docx</t>
  </si>
  <si>
    <t>Stores</t>
  </si>
  <si>
    <t>Place actual CV PDF/DOCX files in a folder named CVs next to this workbook, or paste SharePoint links. Select a cell in column G → Insert → Link (Ctrl+K). VBA cannot embed binary files inside xlsx; hyperlinks are the controlled method.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</si>
</sst>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"/>
  </numFmts>
  <fonts count="17" x14ac:knownFonts="1">
    <font>
      <sz val="11"/>
      <color theme="1"/>
      <name val="Arial"/>
      <family val="2"/>
      <scheme val="minor"/>
    </font>
    <font>
      <b/>
      <sz val="20"/>
      <color rgb="FFFFFFFF"/>
      <name val="Calibri"/>
    </font>
    <font>
      <i/>
      <sz val="11"/>
      <color rgb="FFD5DBDB"/>
      <name val="Calibri"/>
    </font>
    <font>
      <b/>
      <sz val="12"/>
      <color rgb="FFFFFFFF"/>
      <name val="Calibri"/>
    </font>
    <font>
      <b/>
      <sz val="10"/>
      <color rgb="FF0B2545"/>
      <name val="Calibri"/>
    </font>
    <font>
      <sz val="10"/>
      <color rgb="FF1C2833"/>
      <name val="Calibri"/>
    </font>
    <font>
      <b/>
      <sz val="11"/>
      <color rgb="FFFFFFFF"/>
      <name val="Calibri"/>
    </font>
    <font>
      <b/>
      <sz val="10"/>
      <color rgb="FF0D7377"/>
      <name val="Calibri"/>
    </font>
    <font>
      <i/>
      <sz val="10"/>
      <name val="Calibri"/>
    </font>
    <font>
      <sz val="9"/>
      <color rgb="FF5D6D7E"/>
      <name val="Calibri"/>
    </font>
    <font>
      <b/>
      <sz val="10"/>
      <color rgb="FFFFFFFF"/>
      <name val="Calibri"/>
    </font>
    <font>
      <b/>
      <sz val="18"/>
      <color rgb="FFFFFFFF"/>
      <name val="Calibri"/>
    </font>
    <font>
      <b/>
      <sz val="16"/>
      <color rgb="FFFFFFFF"/>
      <name val="Calibri"/>
    </font>
    <font>
      <b/>
      <sz val="14"/>
      <color rgb="FF0B2545"/>
      <name val="Calibri"/>
    </font>
    <font>
      <u/>
      <sz val="10"/>
      <color rgb="FF1A5276"/>
      <name val="Calibri"/>
    </font>
    <font>
      <b/>
      <sz val="22"/>
      <color rgb="FFFFFFFF"/>
      <name val="Calibri"/>
    </font>
    <font>
      <b/>
      <sz val="14"/>
      <color rgb="FFFFFFFF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0B2545"/>
      </patternFill>
    </fill>
    <fill>
      <patternFill patternType="solid">
        <fgColor rgb="FF0D7377"/>
      </patternFill>
    </fill>
    <fill>
      <patternFill patternType="solid">
        <fgColor rgb="FFC9A227"/>
      </patternFill>
    </fill>
    <fill>
      <patternFill patternType="solid">
        <fgColor rgb="FFE8EEF2"/>
      </patternFill>
    </fill>
    <fill>
      <patternFill patternType="solid">
        <fgColor rgb="FFEBF5FB"/>
      </patternFill>
    </fill>
    <fill>
      <patternFill patternType="solid">
        <fgColor rgb="FFFFFDE7"/>
      </patternFill>
    </fill>
    <fill>
      <patternFill patternType="solid">
        <fgColor rgb="FFF4F7F8"/>
      </patternFill>
    </fill>
    <fill>
      <patternFill patternType="solid">
        <fgColor rgb="FFFCF3CF"/>
      </patternFill>
    </fill>
    <fill>
      <patternFill patternType="solid">
        <fgColor rgb="FF1A5276"/>
      </patternFill>
    </fill>
    <fill>
      <patternFill patternType="solid">
        <fgColor rgb="FF1E8449"/>
      </patternFill>
    </fill>
    <fill>
      <patternFill patternType="solid">
        <fgColor rgb="FF154360"/>
      </patternFill>
    </fill>
    <fill>
      <patternFill patternType="solid">
        <fgColor rgb="FFD35400"/>
      </patternFill>
    </fill>
  </fills>
  <borders count="4">
    <border>
      <left/>
      <right/>
      <top/>
      <bottom/>
      <diagonal/>
    </border>
    <border>
      <left style="thin">
        <color rgb="FFBFCFD9"/>
      </left>
      <right style="thin">
        <color rgb="FFBFCFD9"/>
      </right>
      <top style="thin">
        <color rgb="FFBFCFD9"/>
      </top>
      <bottom style="thin">
        <color rgb="FFBFCFD9"/>
      </bottom>
      <diagonal/>
    </border>
    <border>
      <left/>
      <right/>
      <top style="thin">
        <color rgb="FFBFCFD9"/>
      </top>
      <bottom style="thin">
        <color rgb="FFBFCFD9"/>
      </bottom>
      <diagonal/>
    </border>
    <border>
      <left/>
      <right style="thin">
        <color rgb="FFBFCFD9"/>
      </right>
      <top style="thin">
        <color rgb="FFBFCFD9"/>
      </top>
      <bottom style="thin">
        <color rgb="FFBFCFD9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4" fillId="5" borderId="1" xfId="0" applyFont="1" applyFill="1" applyBorder="1"/>
    <xf numFmtId="0" fontId="4" fillId="6" borderId="1" xfId="0" applyFont="1" applyFill="1" applyBorder="1"/>
    <xf numFmtId="164" fontId="4" fillId="6" borderId="1" xfId="0" applyNumberFormat="1" applyFont="1" applyFill="1" applyBorder="1"/>
    <xf numFmtId="0" fontId="5" fillId="7" borderId="1" xfId="0" applyFont="1" applyFill="1" applyBorder="1" applyProtection="1"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7" fillId="8" borderId="1" xfId="0" applyFont="1" applyFill="1" applyBorder="1"/>
    <xf numFmtId="0" fontId="7" fillId="0" borderId="1" xfId="0" applyFont="1" applyBorder="1"/>
    <xf numFmtId="0" fontId="5" fillId="0" borderId="1" xfId="0" applyFont="1" applyBorder="1"/>
    <xf numFmtId="4" fontId="4" fillId="6" borderId="1" xfId="0" applyNumberFormat="1" applyFont="1" applyFill="1" applyBorder="1"/>
    <xf numFmtId="2" fontId="4" fillId="6" borderId="1" xfId="0" applyNumberFormat="1" applyFont="1" applyFill="1" applyBorder="1"/>
    <xf numFmtId="4" fontId="4" fillId="4" borderId="1" xfId="0" applyNumberFormat="1" applyFont="1" applyFill="1" applyBorder="1"/>
    <xf numFmtId="0" fontId="9" fillId="0" borderId="1" xfId="0" applyFont="1" applyBorder="1"/>
    <xf numFmtId="1" fontId="5" fillId="7" borderId="1" xfId="0" applyNumberFormat="1" applyFont="1" applyFill="1" applyBorder="1" applyProtection="1">
      <protection locked="0"/>
    </xf>
    <xf numFmtId="2" fontId="5" fillId="7" borderId="1" xfId="0" applyNumberFormat="1" applyFont="1" applyFill="1" applyBorder="1" applyProtection="1">
      <protection locked="0"/>
    </xf>
    <xf numFmtId="0" fontId="0" fillId="0" borderId="1" xfId="0" applyBorder="1"/>
    <xf numFmtId="164" fontId="5" fillId="7" borderId="1" xfId="0" applyNumberFormat="1" applyFont="1" applyFill="1" applyBorder="1" applyProtection="1">
      <protection locked="0"/>
    </xf>
    <xf numFmtId="165" fontId="5" fillId="7" borderId="1" xfId="0" applyNumberFormat="1" applyFont="1" applyFill="1" applyBorder="1" applyProtection="1">
      <protection locked="0"/>
    </xf>
    <xf numFmtId="0" fontId="10" fillId="2" borderId="0" xfId="0" applyFont="1" applyFill="1"/>
    <xf numFmtId="0" fontId="4" fillId="5" borderId="0" xfId="0" applyFont="1" applyFill="1"/>
    <xf numFmtId="0" fontId="4" fillId="0" borderId="0" xfId="0" applyFont="1"/>
    <xf numFmtId="165" fontId="13" fillId="6" borderId="1" xfId="0" applyNumberFormat="1" applyFont="1" applyFill="1" applyBorder="1"/>
    <xf numFmtId="0" fontId="4" fillId="6" borderId="1" xfId="0" applyFont="1" applyFill="1" applyBorder="1" applyAlignment="1">
      <alignment vertical="top" wrapText="1"/>
    </xf>
    <xf numFmtId="0" fontId="14" fillId="7" borderId="1" xfId="0" applyFont="1" applyFill="1" applyBorder="1" applyProtection="1">
      <protection locked="0"/>
    </xf>
    <xf numFmtId="0" fontId="4" fillId="6" borderId="1" xfId="0" applyFont="1" applyFill="1" applyBorder="1"/>
    <xf numFmtId="0" fontId="0" fillId="0" borderId="0" xfId="0"/>
    <xf numFmtId="0" fontId="3" fillId="2" borderId="0" xfId="0" applyFont="1" applyFill="1" applyAlignment="1">
      <alignment horizontal="center" vertical="center" wrapText="1"/>
    </xf>
    <xf numFmtId="0" fontId="5" fillId="7" borderId="1" xfId="0" applyFont="1" applyFill="1" applyBorder="1" applyProtection="1">
      <protection locked="0"/>
    </xf>
    <xf numFmtId="0" fontId="5" fillId="0" borderId="1" xfId="0" applyFont="1" applyBorder="1"/>
    <xf numFmtId="0" fontId="1" fillId="2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 vertical="center" wrapText="1"/>
    </xf>
    <xf numFmtId="0" fontId="5" fillId="8" borderId="0" xfId="0" applyFont="1" applyFill="1"/>
    <xf numFmtId="0" fontId="5" fillId="8" borderId="1" xfId="0" applyFont="1" applyFill="1" applyBorder="1"/>
    <xf numFmtId="0" fontId="3" fillId="4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left" vertical="center" indent="1"/>
    </xf>
    <xf numFmtId="164" fontId="4" fillId="6" borderId="1" xfId="0" applyNumberFormat="1" applyFont="1" applyFill="1" applyBorder="1"/>
    <xf numFmtId="0" fontId="8" fillId="9" borderId="0" xfId="0" applyFont="1" applyFill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9" fillId="0" borderId="0" xfId="0" applyFont="1" applyAlignment="1">
      <alignment wrapText="1"/>
    </xf>
    <xf numFmtId="0" fontId="4" fillId="6" borderId="1" xfId="0" applyFont="1" applyFill="1" applyBorder="1" applyAlignment="1">
      <alignment horizontal="center" vertical="center" wrapText="1"/>
    </xf>
    <xf numFmtId="0" fontId="10" fillId="12" borderId="0" xfId="0" applyFont="1" applyFill="1" applyAlignment="1">
      <alignment horizontal="center" vertical="center" wrapText="1"/>
    </xf>
    <xf numFmtId="2" fontId="15" fillId="2" borderId="0" xfId="0" applyNumberFormat="1" applyFont="1" applyFill="1" applyAlignment="1">
      <alignment horizontal="center" vertical="center" wrapText="1"/>
    </xf>
    <xf numFmtId="0" fontId="10" fillId="10" borderId="0" xfId="0" applyFont="1" applyFill="1" applyAlignment="1">
      <alignment horizontal="center" vertical="center" wrapText="1"/>
    </xf>
    <xf numFmtId="0" fontId="16" fillId="11" borderId="0" xfId="0" applyFont="1" applyFill="1" applyAlignment="1">
      <alignment horizontal="center" vertical="center" wrapText="1"/>
    </xf>
    <xf numFmtId="0" fontId="6" fillId="2" borderId="0" xfId="0" applyFont="1" applyFill="1"/>
    <xf numFmtId="0" fontId="10" fillId="13" borderId="0" xfId="0" applyFont="1" applyFill="1"/>
    <xf numFmtId="165" fontId="15" fillId="4" borderId="0" xfId="0" applyNumberFormat="1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3" fontId="15" fillId="3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4" fontId="11" fillId="4" borderId="0" xfId="0" applyNumberFormat="1" applyFont="1" applyFill="1" applyAlignment="1">
      <alignment horizontal="center" vertical="center" wrapText="1"/>
    </xf>
    <xf numFmtId="4" fontId="12" fillId="4" borderId="0" xfId="0" applyNumberFormat="1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0" fillId="3" borderId="0" xfId="0" applyFont="1" applyFill="1"/>
    <xf numFmtId="0" fontId="9" fillId="0" borderId="0" xfId="0" applyFont="1"/>
    <xf numFmtId="0" fontId="3" fillId="4" borderId="0" xfId="0" applyFont="1" applyFill="1"/>
    <xf numFmtId="0" fontId="0" fillId="0" borderId="0" xfId="0" applyAlignment="1">
      <alignment vertical="top" wrapText="1"/>
    </xf>
  </cellXfs>
  <cellStyles count="1">
    <cellStyle name="Normal" xfId="0" builtinId="0"/>
  </cellStyles>
  <dxfs count="21">
    <dxf>
      <fill>
        <patternFill patternType="solid">
          <fgColor rgb="FFFADBD8"/>
        </patternFill>
      </fill>
    </dxf>
    <dxf>
      <fill>
        <patternFill patternType="solid">
          <fgColor rgb="FFFCF3CF"/>
        </patternFill>
      </fill>
    </dxf>
    <dxf>
      <fill>
        <patternFill patternType="solid">
          <fgColor rgb="FFD5F5E3"/>
        </patternFill>
      </fill>
    </dxf>
    <dxf>
      <font>
        <b/>
        <color rgb="FF7B241C"/>
      </font>
      <fill>
        <patternFill patternType="solid">
          <fgColor rgb="FFFADBD8"/>
        </patternFill>
      </fill>
    </dxf>
    <dxf>
      <fill>
        <patternFill patternType="solid">
          <fgColor rgb="FFFCF3CF"/>
        </patternFill>
      </fill>
    </dxf>
    <dxf>
      <fill>
        <patternFill patternType="solid">
          <fgColor rgb="FFD5F5E3"/>
        </patternFill>
      </fill>
    </dxf>
    <dxf>
      <fill>
        <patternFill patternType="solid">
          <fgColor rgb="FFFADBD8"/>
        </patternFill>
      </fill>
    </dxf>
    <dxf>
      <fill>
        <patternFill patternType="solid">
          <fgColor rgb="FFFCF3CF"/>
        </patternFill>
      </fill>
    </dxf>
    <dxf>
      <fill>
        <patternFill patternType="solid">
          <fgColor rgb="FFFADBD8"/>
        </patternFill>
      </fill>
    </dxf>
    <dxf>
      <fill>
        <patternFill patternType="solid">
          <fgColor rgb="FFD5F5E3"/>
        </patternFill>
      </fill>
    </dxf>
    <dxf>
      <fill>
        <patternFill patternType="solid">
          <fgColor rgb="FFFADBD8"/>
        </patternFill>
      </fill>
    </dxf>
    <dxf>
      <font>
        <b/>
        <color rgb="FF922B21"/>
      </font>
      <fill>
        <patternFill patternType="solid">
          <fgColor rgb="FFFADBD8"/>
        </patternFill>
      </fill>
    </dxf>
    <dxf>
      <fill>
        <patternFill patternType="solid">
          <fgColor rgb="FFD6EAF8"/>
        </patternFill>
      </fill>
    </dxf>
    <dxf>
      <fill>
        <patternFill patternType="solid">
          <fgColor rgb="FFD5F5E3"/>
        </patternFill>
      </fill>
    </dxf>
    <dxf>
      <fill>
        <patternFill patternType="solid">
          <fgColor rgb="FFFCF3CF"/>
        </patternFill>
      </fill>
    </dxf>
    <dxf>
      <font>
        <b/>
        <color rgb="FFFFFFFF"/>
      </font>
      <fill>
        <patternFill patternType="solid">
          <fgColor rgb="FFD35400"/>
        </patternFill>
      </fill>
    </dxf>
    <dxf>
      <font>
        <b/>
        <color rgb="FFFFFFFF"/>
      </font>
      <fill>
        <patternFill patternType="solid">
          <fgColor rgb="FFC0392B"/>
        </patternFill>
      </fill>
    </dxf>
    <dxf>
      <fill>
        <patternFill patternType="solid">
          <fgColor rgb="FFD5F5E3"/>
        </patternFill>
      </fill>
    </dxf>
    <dxf>
      <fill>
        <patternFill patternType="solid">
          <fgColor rgb="FFFADBD8"/>
        </patternFill>
      </fill>
    </dxf>
    <dxf>
      <fill>
        <patternFill patternType="solid">
          <fgColor rgb="FFD5F5E3"/>
        </patternFill>
      </fill>
    </dxf>
    <dxf>
      <fill>
        <patternFill patternType="solid">
          <fgColor rgb="FFFADB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Observations by focus area</a:t>
            </a:r>
          </a:p>
        </c:rich>
      </c:tx>
      <c:overlay val="1"/>
    </c:title>
    <c:autoTitleDeleted val="0"/>
    <c:plotArea>
      <c:layout/>
      <c:pieChart>
        <c:varyColors val="1"/>
        <c:ser>
          <c:idx val="0"/>
          <c:order val="0"/>
          <c:tx>
            <c:strRef>
              <c:f>'[1]01_Dashboard'!$C$21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1"/>
            <c:showVal val="0"/>
            <c:showCatName val="0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'[1]01_Dashboard'!$B$22:$B$28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'[1]01_Dashboard'!$C$22:$C$28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7-4FFC-B91F-FB41A51EB9AF}"/>
            </c:ext>
          </c:extLst>
        </c:ser>
        <c:dLbls>
          <c:showLegendKey val="1"/>
          <c:showVal val="0"/>
          <c:showCatName val="0"/>
          <c:showSerName val="1"/>
          <c:showPercent val="1"/>
          <c:showBubbleSize val="1"/>
          <c:showLeaderLines val="1"/>
        </c:dLbls>
        <c:firstSliceAng val="0"/>
      </c:pie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10"/>
  <c:chart>
    <c:title>
      <c:tx>
        <c:rich>
          <a:bodyPr/>
          <a:lstStyle/>
          <a:p>
            <a:pPr>
              <a:defRPr/>
            </a:pPr>
            <a:r>
              <a:t>Subcontractor EHS Score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'[2]06_Scorecard'!$L$4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numRef>
              <c:f>'[2]06_Scorecard'!$B$5:$B$12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'[2]06_Scorecard'!$L$5:$L$12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7A-49EA-8411-B2A55867F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ax val="100"/>
          <c:min val="0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Score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19</xdr:row>
      <xdr:rowOff>0</xdr:rowOff>
    </xdr:from>
    <xdr:ext cx="432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15</xdr:row>
      <xdr:rowOff>0</xdr:rowOff>
    </xdr:from>
    <xdr:ext cx="648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01_Dashboard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06_Scorecar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1_Dashboard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6_Scorecard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9A227"/>
    <pageSetUpPr fitToPage="1"/>
  </sheetPr>
  <dimension ref="A1:J40"/>
  <sheetViews>
    <sheetView showGridLines="0" workbookViewId="0">
      <pane ySplit="4" topLeftCell="A5" activePane="bottomLeft" state="frozen"/>
      <selection pane="bottomLeft" sqref="A1:J1"/>
    </sheetView>
  </sheetViews>
  <sheetFormatPr defaultRowHeight="13.8" x14ac:dyDescent="0.25"/>
  <cols>
    <col min="1" max="1" width="4" customWidth="1"/>
    <col min="2" max="2" width="28" customWidth="1"/>
    <col min="3" max="7" width="22" customWidth="1"/>
    <col min="8" max="9" width="18" customWidth="1"/>
    <col min="10" max="10" width="14" customWidth="1"/>
  </cols>
  <sheetData>
    <row r="1" spans="1:10" ht="31.95" customHeight="1" x14ac:dyDescent="0.25">
      <c r="A1" s="29" t="s">
        <v>0</v>
      </c>
      <c r="B1" s="25"/>
      <c r="C1" s="25"/>
      <c r="D1" s="25"/>
      <c r="E1" s="25"/>
      <c r="F1" s="25"/>
      <c r="G1" s="25"/>
      <c r="H1" s="25"/>
      <c r="I1" s="25"/>
      <c r="J1" s="25"/>
    </row>
    <row r="2" spans="1:10" ht="19.95" customHeight="1" x14ac:dyDescent="0.25">
      <c r="A2" s="34" t="s">
        <v>1</v>
      </c>
      <c r="B2" s="25"/>
      <c r="C2" s="25"/>
      <c r="D2" s="25"/>
      <c r="E2" s="25"/>
      <c r="F2" s="25"/>
      <c r="G2" s="25"/>
      <c r="H2" s="25"/>
      <c r="I2" s="25"/>
      <c r="J2" s="25"/>
    </row>
    <row r="4" spans="1:10" x14ac:dyDescent="0.25">
      <c r="B4" s="33" t="s">
        <v>2</v>
      </c>
      <c r="C4" s="25"/>
      <c r="D4" s="25"/>
      <c r="E4" s="25"/>
      <c r="F4" s="25"/>
      <c r="H4" s="33" t="s">
        <v>3</v>
      </c>
      <c r="I4" s="25"/>
      <c r="J4" s="25"/>
    </row>
    <row r="5" spans="1:10" ht="14.4" x14ac:dyDescent="0.3">
      <c r="B5" s="1" t="s">
        <v>4</v>
      </c>
      <c r="C5" s="24" t="s">
        <v>5</v>
      </c>
      <c r="D5" s="25"/>
      <c r="E5" s="25"/>
      <c r="F5" s="25"/>
      <c r="H5" t="s">
        <v>6</v>
      </c>
      <c r="I5" s="3">
        <f ca="1">TODAY()</f>
        <v>46275</v>
      </c>
    </row>
    <row r="6" spans="1:10" ht="14.4" x14ac:dyDescent="0.3">
      <c r="B6" s="1" t="s">
        <v>7</v>
      </c>
      <c r="C6" s="27" t="s">
        <v>8</v>
      </c>
      <c r="D6" s="25"/>
      <c r="E6" s="25"/>
      <c r="F6" s="25"/>
      <c r="H6" t="s">
        <v>9</v>
      </c>
      <c r="I6" s="4" t="s">
        <v>10</v>
      </c>
    </row>
    <row r="7" spans="1:10" ht="14.4" x14ac:dyDescent="0.3">
      <c r="B7" s="1" t="s">
        <v>11</v>
      </c>
      <c r="C7" s="27" t="s">
        <v>12</v>
      </c>
      <c r="D7" s="25"/>
      <c r="E7" s="25"/>
      <c r="F7" s="25"/>
      <c r="H7" t="s">
        <v>13</v>
      </c>
      <c r="I7" t="s">
        <v>14</v>
      </c>
    </row>
    <row r="8" spans="1:10" ht="14.4" x14ac:dyDescent="0.3">
      <c r="B8" s="1" t="s">
        <v>15</v>
      </c>
      <c r="C8" s="24" t="s">
        <v>16</v>
      </c>
      <c r="D8" s="25"/>
      <c r="E8" s="25"/>
      <c r="F8" s="25"/>
      <c r="H8" t="s">
        <v>17</v>
      </c>
      <c r="I8" t="s">
        <v>18</v>
      </c>
    </row>
    <row r="9" spans="1:10" ht="14.4" x14ac:dyDescent="0.3">
      <c r="B9" s="1" t="s">
        <v>19</v>
      </c>
      <c r="C9" s="24" t="s">
        <v>20</v>
      </c>
      <c r="D9" s="25"/>
      <c r="E9" s="25"/>
      <c r="F9" s="25"/>
    </row>
    <row r="10" spans="1:10" ht="14.4" x14ac:dyDescent="0.3">
      <c r="B10" s="1" t="s">
        <v>21</v>
      </c>
      <c r="C10" s="24" t="s">
        <v>22</v>
      </c>
      <c r="D10" s="25"/>
      <c r="E10" s="25"/>
      <c r="F10" s="25"/>
    </row>
    <row r="11" spans="1:10" ht="14.4" x14ac:dyDescent="0.3">
      <c r="B11" s="1" t="s">
        <v>23</v>
      </c>
      <c r="C11" s="27" t="s">
        <v>24</v>
      </c>
      <c r="D11" s="25"/>
      <c r="E11" s="25"/>
      <c r="F11" s="25"/>
    </row>
    <row r="12" spans="1:10" ht="14.4" x14ac:dyDescent="0.3">
      <c r="B12" s="1" t="s">
        <v>25</v>
      </c>
      <c r="C12" s="27" t="s">
        <v>26</v>
      </c>
      <c r="D12" s="25"/>
      <c r="E12" s="25"/>
      <c r="F12" s="25"/>
    </row>
    <row r="13" spans="1:10" ht="14.4" x14ac:dyDescent="0.3">
      <c r="B13" s="1" t="s">
        <v>27</v>
      </c>
      <c r="C13" s="35">
        <v>46023</v>
      </c>
      <c r="D13" s="25"/>
      <c r="E13" s="25"/>
      <c r="F13" s="25"/>
    </row>
    <row r="14" spans="1:10" ht="14.4" x14ac:dyDescent="0.3">
      <c r="B14" s="1" t="s">
        <v>28</v>
      </c>
      <c r="C14" s="27" t="s">
        <v>29</v>
      </c>
      <c r="D14" s="25"/>
      <c r="E14" s="25"/>
      <c r="F14" s="25"/>
    </row>
    <row r="16" spans="1:10" x14ac:dyDescent="0.25">
      <c r="B16" s="26" t="s">
        <v>30</v>
      </c>
      <c r="C16" s="25"/>
      <c r="D16" s="25"/>
      <c r="E16" s="25"/>
      <c r="F16" s="25"/>
    </row>
    <row r="17" spans="2:6" ht="14.4" x14ac:dyDescent="0.25">
      <c r="B17" s="5" t="s">
        <v>31</v>
      </c>
      <c r="C17" s="37" t="s">
        <v>32</v>
      </c>
      <c r="D17" s="38"/>
      <c r="E17" s="38"/>
      <c r="F17" s="39"/>
    </row>
    <row r="18" spans="2:6" ht="14.4" x14ac:dyDescent="0.3">
      <c r="B18" s="6" t="s">
        <v>33</v>
      </c>
      <c r="C18" s="32" t="s">
        <v>34</v>
      </c>
      <c r="D18" s="25"/>
      <c r="E18" s="25"/>
      <c r="F18" s="25"/>
    </row>
    <row r="19" spans="2:6" ht="14.4" x14ac:dyDescent="0.3">
      <c r="B19" s="7" t="s">
        <v>35</v>
      </c>
      <c r="C19" s="28" t="s">
        <v>36</v>
      </c>
      <c r="D19" s="25"/>
      <c r="E19" s="25"/>
      <c r="F19" s="25"/>
    </row>
    <row r="20" spans="2:6" ht="14.4" x14ac:dyDescent="0.3">
      <c r="B20" s="6" t="s">
        <v>37</v>
      </c>
      <c r="C20" s="32" t="s">
        <v>38</v>
      </c>
      <c r="D20" s="25"/>
      <c r="E20" s="25"/>
      <c r="F20" s="25"/>
    </row>
    <row r="21" spans="2:6" ht="14.4" x14ac:dyDescent="0.3">
      <c r="B21" s="7" t="s">
        <v>39</v>
      </c>
      <c r="C21" s="28" t="s">
        <v>40</v>
      </c>
      <c r="D21" s="25"/>
      <c r="E21" s="25"/>
      <c r="F21" s="25"/>
    </row>
    <row r="22" spans="2:6" ht="14.4" x14ac:dyDescent="0.3">
      <c r="B22" s="6" t="s">
        <v>41</v>
      </c>
      <c r="C22" s="32" t="s">
        <v>42</v>
      </c>
      <c r="D22" s="25"/>
      <c r="E22" s="25"/>
      <c r="F22" s="25"/>
    </row>
    <row r="23" spans="2:6" ht="14.4" x14ac:dyDescent="0.3">
      <c r="B23" s="7" t="s">
        <v>43</v>
      </c>
      <c r="C23" s="28" t="s">
        <v>44</v>
      </c>
      <c r="D23" s="25"/>
      <c r="E23" s="25"/>
      <c r="F23" s="25"/>
    </row>
    <row r="24" spans="2:6" ht="14.4" x14ac:dyDescent="0.3">
      <c r="B24" s="6" t="s">
        <v>45</v>
      </c>
      <c r="C24" s="32" t="s">
        <v>46</v>
      </c>
      <c r="D24" s="25"/>
      <c r="E24" s="25"/>
      <c r="F24" s="25"/>
    </row>
    <row r="25" spans="2:6" ht="14.4" x14ac:dyDescent="0.3">
      <c r="B25" s="7" t="s">
        <v>47</v>
      </c>
      <c r="C25" s="28" t="s">
        <v>48</v>
      </c>
      <c r="D25" s="25"/>
      <c r="E25" s="25"/>
      <c r="F25" s="25"/>
    </row>
    <row r="26" spans="2:6" ht="14.4" x14ac:dyDescent="0.3">
      <c r="B26" s="6" t="s">
        <v>49</v>
      </c>
      <c r="C26" s="32" t="s">
        <v>50</v>
      </c>
      <c r="D26" s="25"/>
      <c r="E26" s="25"/>
      <c r="F26" s="25"/>
    </row>
    <row r="27" spans="2:6" ht="14.4" x14ac:dyDescent="0.3">
      <c r="B27" s="7" t="s">
        <v>51</v>
      </c>
      <c r="C27" s="28" t="s">
        <v>52</v>
      </c>
      <c r="D27" s="25"/>
      <c r="E27" s="25"/>
      <c r="F27" s="25"/>
    </row>
    <row r="28" spans="2:6" ht="14.4" x14ac:dyDescent="0.3">
      <c r="B28" s="6" t="s">
        <v>53</v>
      </c>
      <c r="C28" s="32" t="s">
        <v>54</v>
      </c>
      <c r="D28" s="25"/>
      <c r="E28" s="25"/>
      <c r="F28" s="25"/>
    </row>
    <row r="29" spans="2:6" ht="14.4" x14ac:dyDescent="0.3">
      <c r="B29" s="7" t="s">
        <v>55</v>
      </c>
      <c r="C29" s="28" t="s">
        <v>56</v>
      </c>
      <c r="D29" s="25"/>
      <c r="E29" s="25"/>
      <c r="F29" s="25"/>
    </row>
    <row r="30" spans="2:6" ht="14.4" x14ac:dyDescent="0.3">
      <c r="B30" s="6" t="s">
        <v>57</v>
      </c>
      <c r="C30" s="32" t="s">
        <v>58</v>
      </c>
      <c r="D30" s="25"/>
      <c r="E30" s="25"/>
      <c r="F30" s="25"/>
    </row>
    <row r="32" spans="2:6" x14ac:dyDescent="0.25">
      <c r="B32" s="30" t="s">
        <v>59</v>
      </c>
      <c r="C32" s="25"/>
      <c r="D32" s="25"/>
      <c r="E32" s="25"/>
      <c r="F32" s="25"/>
    </row>
    <row r="33" spans="2:6" ht="14.4" x14ac:dyDescent="0.3">
      <c r="B33" s="31" t="s">
        <v>60</v>
      </c>
      <c r="C33" s="25"/>
      <c r="D33" s="25"/>
      <c r="E33" s="25"/>
      <c r="F33" s="25"/>
    </row>
    <row r="34" spans="2:6" ht="14.4" x14ac:dyDescent="0.3">
      <c r="B34" s="31" t="s">
        <v>61</v>
      </c>
      <c r="C34" s="25"/>
      <c r="D34" s="25"/>
      <c r="E34" s="25"/>
      <c r="F34" s="25"/>
    </row>
    <row r="35" spans="2:6" ht="14.4" x14ac:dyDescent="0.3">
      <c r="B35" s="31" t="s">
        <v>62</v>
      </c>
      <c r="C35" s="25"/>
      <c r="D35" s="25"/>
      <c r="E35" s="25"/>
      <c r="F35" s="25"/>
    </row>
    <row r="36" spans="2:6" ht="14.4" x14ac:dyDescent="0.3">
      <c r="B36" s="31" t="s">
        <v>63</v>
      </c>
      <c r="C36" s="25"/>
      <c r="D36" s="25"/>
      <c r="E36" s="25"/>
      <c r="F36" s="25"/>
    </row>
    <row r="38" spans="2:6" x14ac:dyDescent="0.25">
      <c r="B38" s="36" t="s">
        <v>64</v>
      </c>
      <c r="C38" s="25"/>
      <c r="D38" s="25"/>
      <c r="E38" s="25"/>
      <c r="F38" s="25"/>
    </row>
    <row r="39" spans="2:6" x14ac:dyDescent="0.25">
      <c r="B39" s="25"/>
      <c r="C39" s="25"/>
      <c r="D39" s="25"/>
      <c r="E39" s="25"/>
      <c r="F39" s="25"/>
    </row>
    <row r="40" spans="2:6" x14ac:dyDescent="0.25">
      <c r="B40" s="25"/>
      <c r="C40" s="25"/>
      <c r="D40" s="25"/>
      <c r="E40" s="25"/>
      <c r="F40" s="25"/>
    </row>
  </sheetData>
  <mergeCells count="35">
    <mergeCell ref="B38:F40"/>
    <mergeCell ref="C29:F29"/>
    <mergeCell ref="C25:F25"/>
    <mergeCell ref="C10:F10"/>
    <mergeCell ref="C22:F22"/>
    <mergeCell ref="B33:F33"/>
    <mergeCell ref="C12:F12"/>
    <mergeCell ref="C21:F21"/>
    <mergeCell ref="C11:F11"/>
    <mergeCell ref="C27:F27"/>
    <mergeCell ref="B36:F36"/>
    <mergeCell ref="B35:F35"/>
    <mergeCell ref="C17:F17"/>
    <mergeCell ref="C23:F23"/>
    <mergeCell ref="A1:J1"/>
    <mergeCell ref="B32:F32"/>
    <mergeCell ref="B34:F34"/>
    <mergeCell ref="C20:F20"/>
    <mergeCell ref="C26:F26"/>
    <mergeCell ref="C9:F9"/>
    <mergeCell ref="H4:J4"/>
    <mergeCell ref="A2:J2"/>
    <mergeCell ref="C28:F28"/>
    <mergeCell ref="C13:F13"/>
    <mergeCell ref="C18:F18"/>
    <mergeCell ref="C6:F6"/>
    <mergeCell ref="C30:F30"/>
    <mergeCell ref="C24:F24"/>
    <mergeCell ref="C14:F14"/>
    <mergeCell ref="B4:F4"/>
    <mergeCell ref="C8:F8"/>
    <mergeCell ref="B16:F16"/>
    <mergeCell ref="C7:F7"/>
    <mergeCell ref="C19:F19"/>
    <mergeCell ref="C5:F5"/>
  </mergeCells>
  <pageMargins left="0.75" right="0.75" top="1" bottom="1" header="0.5" footer="0.5"/>
  <pageSetup paperSize="9" fitToHeight="0" orientation="landscape"/>
  <headerFooter>
    <oddHeader>&amp;LKAZ PP Expansion | EHS</oddHeader>
    <oddFooter>&amp;RConfidential | 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D7377"/>
    <pageSetUpPr fitToPage="1"/>
  </sheetPr>
  <dimension ref="A1:N32"/>
  <sheetViews>
    <sheetView showGridLines="0" tabSelected="1" workbookViewId="0">
      <pane ySplit="4" topLeftCell="A5" activePane="bottomLeft" state="frozen"/>
      <selection pane="bottomLeft" activeCell="D13" sqref="D13:E13"/>
    </sheetView>
  </sheetViews>
  <sheetFormatPr defaultRowHeight="13.8" x14ac:dyDescent="0.25"/>
  <cols>
    <col min="1" max="1" width="3" customWidth="1"/>
    <col min="2" max="2" width="22" customWidth="1"/>
    <col min="3" max="13" width="16" customWidth="1"/>
    <col min="14" max="14" width="14" customWidth="1"/>
  </cols>
  <sheetData>
    <row r="1" spans="1:14" ht="31.95" customHeight="1" x14ac:dyDescent="0.25">
      <c r="A1" s="29" t="s">
        <v>65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4" ht="19.95" customHeight="1" x14ac:dyDescent="0.25">
      <c r="A2" s="34" t="s">
        <v>66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4" spans="1:14" ht="14.4" x14ac:dyDescent="0.3">
      <c r="B4" t="s">
        <v>67</v>
      </c>
      <c r="C4" s="3">
        <f ca="1">TODAY()</f>
        <v>46275</v>
      </c>
      <c r="D4" t="s">
        <v>68</v>
      </c>
      <c r="E4" s="9">
        <f>ManHours!I5</f>
        <v>23980</v>
      </c>
      <c r="F4" t="s">
        <v>69</v>
      </c>
      <c r="G4" s="3" t="str">
        <f ca="1">IF(Admin!C31&lt;&gt;"",Admin!C31,IF(Incidents!W13="None","None",Incidents!W13))</f>
        <v>None</v>
      </c>
    </row>
    <row r="6" spans="1:14" x14ac:dyDescent="0.25">
      <c r="B6" s="44" t="s">
        <v>70</v>
      </c>
      <c r="C6" s="25"/>
      <c r="E6" s="44" t="s">
        <v>71</v>
      </c>
      <c r="F6" s="25"/>
      <c r="G6" s="44" t="s">
        <v>72</v>
      </c>
      <c r="H6" s="25"/>
      <c r="I6" s="44" t="s">
        <v>73</v>
      </c>
      <c r="J6" s="25"/>
      <c r="K6" s="25"/>
      <c r="L6" s="44" t="s">
        <v>74</v>
      </c>
      <c r="M6" s="25"/>
    </row>
    <row r="7" spans="1:14" x14ac:dyDescent="0.25">
      <c r="B7" s="50">
        <f ca="1">IF(OR(G4="None",G4=""),E4,SUMIF(ManHours!B8:B400,"&gt;"&amp;N(G4),ManHours!M8:M400))</f>
        <v>23980</v>
      </c>
      <c r="C7" s="25"/>
      <c r="E7" s="43">
        <f>IF(E4=0,0,Incidents!W10*Admin!C7/E4)</f>
        <v>0</v>
      </c>
      <c r="F7" s="25"/>
      <c r="G7" s="43" t="str">
        <f ca="1">IF(E4=0,0,Incidents!W9*Admin!C7/E4)</f>
        <v/>
      </c>
      <c r="H7" s="25"/>
      <c r="I7" s="48" t="str">
        <f ca="1">MAX(Admin!C22,MIN(100,Admin!C21+Incidents!W10*Admin!C18+Incidents!W9*Admin!C19+NCR!R4*Admin!C17+Observations!W9*Admin!C16+Observations!W6*Admin!C15+Incidents!W5*Admin!C20))</f>
        <v/>
      </c>
      <c r="J7" s="25"/>
      <c r="K7" s="25"/>
      <c r="L7" s="45" t="str">
        <f ca="1">IF(I7&gt;=Admin!C36,"A — EXCELLENT",IF(I7&gt;=Admin!C37,"B — SATISFACTORY",IF(I7&gt;=Admin!C38,"C — NEEDS IMPROVEMENT","D — UNSATISFACTORY")))</f>
        <v/>
      </c>
      <c r="M7" s="25"/>
      <c r="N7" s="25"/>
    </row>
    <row r="8" spans="1:14" ht="14.4" x14ac:dyDescent="0.3">
      <c r="B8" t="s">
        <v>75</v>
      </c>
      <c r="C8" s="10">
        <f>Admin!C8</f>
        <v>0</v>
      </c>
      <c r="E8" t="s">
        <v>76</v>
      </c>
      <c r="F8" s="2" t="str">
        <f>IF(E7&lt;=Admin!C8,"ON TARGET","ABOVE TARGET")</f>
        <v>ON TARGET</v>
      </c>
      <c r="G8" t="s">
        <v>76</v>
      </c>
      <c r="H8" s="2" t="str">
        <f ca="1">IF(G7&lt;=Admin!C9,"ON TARGET","ABOVE TARGET")</f>
        <v/>
      </c>
    </row>
    <row r="10" spans="1:14" x14ac:dyDescent="0.25">
      <c r="B10" s="49" t="s">
        <v>77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</row>
    <row r="11" spans="1:14" x14ac:dyDescent="0.25">
      <c r="B11" s="42" t="s">
        <v>78</v>
      </c>
      <c r="C11" s="25"/>
      <c r="D11" s="42" t="s">
        <v>79</v>
      </c>
      <c r="E11" s="25"/>
      <c r="F11" s="42" t="s">
        <v>80</v>
      </c>
      <c r="G11" s="25"/>
      <c r="H11" s="42" t="s">
        <v>81</v>
      </c>
      <c r="I11" s="25"/>
      <c r="J11" s="42" t="s">
        <v>82</v>
      </c>
      <c r="K11" s="25"/>
      <c r="L11" s="42" t="s">
        <v>83</v>
      </c>
      <c r="M11" s="25"/>
    </row>
    <row r="12" spans="1:14" x14ac:dyDescent="0.25">
      <c r="B12" s="41">
        <f>Incidents!W5</f>
        <v>1</v>
      </c>
      <c r="C12" s="25"/>
      <c r="D12" s="41">
        <v>6</v>
      </c>
      <c r="E12" s="25"/>
      <c r="F12" s="41">
        <f>Incidents!W7</f>
        <v>1</v>
      </c>
      <c r="G12" s="25"/>
      <c r="H12" s="41">
        <f>Incidents!W8</f>
        <v>1</v>
      </c>
      <c r="I12" s="25"/>
      <c r="J12" s="41" t="str">
        <f ca="1">Incidents!W9</f>
        <v/>
      </c>
      <c r="K12" s="25"/>
      <c r="L12" s="41">
        <f>Incidents!W10</f>
        <v>0</v>
      </c>
      <c r="M12" s="25"/>
    </row>
    <row r="13" spans="1:14" x14ac:dyDescent="0.25">
      <c r="B13" s="42" t="s">
        <v>84</v>
      </c>
      <c r="C13" s="25"/>
      <c r="D13" s="42" t="s">
        <v>85</v>
      </c>
      <c r="E13" s="25"/>
      <c r="F13" s="42" t="s">
        <v>86</v>
      </c>
      <c r="G13" s="25"/>
      <c r="H13" s="42" t="s">
        <v>87</v>
      </c>
      <c r="I13" s="25"/>
      <c r="J13" s="42" t="s">
        <v>88</v>
      </c>
      <c r="K13" s="25"/>
      <c r="L13" s="42" t="s">
        <v>89</v>
      </c>
      <c r="M13" s="25"/>
    </row>
    <row r="14" spans="1:14" x14ac:dyDescent="0.25">
      <c r="B14" s="41">
        <f>NCR!R4</f>
        <v>2</v>
      </c>
      <c r="C14" s="25"/>
      <c r="D14" s="41">
        <f>Observations!W6</f>
        <v>4</v>
      </c>
      <c r="E14" s="25"/>
      <c r="F14" s="41">
        <f ca="1">Observations!W9</f>
        <v>6</v>
      </c>
      <c r="G14" s="25"/>
      <c r="H14" s="41">
        <f>Observations!W10</f>
        <v>2</v>
      </c>
      <c r="I14" s="25"/>
      <c r="J14" s="41">
        <f ca="1">Training!Q4</f>
        <v>6</v>
      </c>
      <c r="K14" s="25"/>
      <c r="L14" s="41">
        <f ca="1">COUNTIF(Equipment!M5:M60,"QUARANTINE / EXPIRED")+COUNTIF(Equipment!M5:M60,"CRITICAL ≤7d")</f>
        <v>5</v>
      </c>
      <c r="M14" s="25"/>
    </row>
    <row r="16" spans="1:14" ht="14.4" x14ac:dyDescent="0.3">
      <c r="B16" s="46" t="s">
        <v>90</v>
      </c>
      <c r="C16" s="25"/>
      <c r="D16" s="25"/>
      <c r="E16" s="25"/>
      <c r="F16" s="25"/>
      <c r="H16" s="47" t="s">
        <v>91</v>
      </c>
      <c r="I16" s="25"/>
      <c r="J16" s="25"/>
      <c r="K16" s="25"/>
      <c r="L16" s="25"/>
      <c r="M16" s="25"/>
      <c r="N16" s="25"/>
    </row>
    <row r="17" spans="2:14" ht="14.4" x14ac:dyDescent="0.3">
      <c r="B17" t="s">
        <v>92</v>
      </c>
      <c r="C17" s="9">
        <f>ManHours!C5</f>
        <v>12680</v>
      </c>
      <c r="D17" t="s">
        <v>93</v>
      </c>
      <c r="E17" s="9">
        <f>ManHours!E5</f>
        <v>10180</v>
      </c>
      <c r="H17" s="25" t="s">
        <v>94</v>
      </c>
      <c r="I17" s="25"/>
      <c r="J17" s="25"/>
      <c r="K17" s="25"/>
      <c r="L17" s="25"/>
      <c r="M17" s="25"/>
      <c r="N17" s="25"/>
    </row>
    <row r="18" spans="2:14" ht="14.4" x14ac:dyDescent="0.3">
      <c r="B18" t="s">
        <v>95</v>
      </c>
      <c r="C18" s="9">
        <f>ManHours!G5</f>
        <v>1120</v>
      </c>
      <c r="D18" t="s">
        <v>96</v>
      </c>
      <c r="E18" s="11">
        <f>ManHours!I5</f>
        <v>23980</v>
      </c>
    </row>
    <row r="20" spans="2:14" ht="14.4" x14ac:dyDescent="0.3">
      <c r="B20" s="46" t="s">
        <v>97</v>
      </c>
      <c r="C20" s="25"/>
      <c r="D20" s="25"/>
      <c r="E20" s="25"/>
      <c r="F20" s="25"/>
    </row>
    <row r="21" spans="2:14" ht="14.4" x14ac:dyDescent="0.25">
      <c r="B21" s="5" t="s">
        <v>98</v>
      </c>
      <c r="C21" s="5" t="s">
        <v>99</v>
      </c>
    </row>
    <row r="22" spans="2:14" ht="14.4" x14ac:dyDescent="0.3">
      <c r="B22" s="8" t="s">
        <v>100</v>
      </c>
      <c r="C22" s="2">
        <f>COUNTIF(Observations!$D$5:$D$250,B22)</f>
        <v>2</v>
      </c>
    </row>
    <row r="23" spans="2:14" ht="14.4" x14ac:dyDescent="0.3">
      <c r="B23" s="8" t="s">
        <v>101</v>
      </c>
      <c r="C23" s="2">
        <f>COUNTIF(Observations!$D$5:$D$250,B23)</f>
        <v>1</v>
      </c>
    </row>
    <row r="24" spans="2:14" ht="14.4" x14ac:dyDescent="0.3">
      <c r="B24" s="8" t="s">
        <v>102</v>
      </c>
      <c r="C24" s="2">
        <f>COUNTIF(Observations!$D$5:$D$250,B24)</f>
        <v>1</v>
      </c>
    </row>
    <row r="25" spans="2:14" ht="14.4" x14ac:dyDescent="0.3">
      <c r="B25" s="8" t="s">
        <v>103</v>
      </c>
      <c r="C25" s="2">
        <f>COUNTIF(Observations!$D$5:$D$250,B25)</f>
        <v>1</v>
      </c>
    </row>
    <row r="26" spans="2:14" ht="14.4" x14ac:dyDescent="0.3">
      <c r="B26" s="8" t="s">
        <v>104</v>
      </c>
      <c r="C26" s="2">
        <f>COUNTIF(Observations!$D$5:$D$250,B26)</f>
        <v>1</v>
      </c>
    </row>
    <row r="27" spans="2:14" ht="14.4" x14ac:dyDescent="0.3">
      <c r="B27" s="8" t="s">
        <v>105</v>
      </c>
      <c r="C27" s="2">
        <f>COUNTIF(Observations!$D$5:$D$250,B27)</f>
        <v>1</v>
      </c>
    </row>
    <row r="28" spans="2:14" ht="14.4" x14ac:dyDescent="0.3">
      <c r="B28" s="8" t="s">
        <v>106</v>
      </c>
      <c r="C28" s="2">
        <f>COUNTIF(Observations!$D$5:$D$250,B28)</f>
        <v>1</v>
      </c>
    </row>
    <row r="31" spans="2:14" x14ac:dyDescent="0.25">
      <c r="B31" s="40" t="s">
        <v>107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</row>
    <row r="32" spans="2:14" x14ac:dyDescent="0.25"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</row>
  </sheetData>
  <mergeCells count="42">
    <mergeCell ref="L6:M6"/>
    <mergeCell ref="E7:F7"/>
    <mergeCell ref="B20:F20"/>
    <mergeCell ref="H17:N17"/>
    <mergeCell ref="L11:M11"/>
    <mergeCell ref="D14:E14"/>
    <mergeCell ref="F14:G14"/>
    <mergeCell ref="H14:I14"/>
    <mergeCell ref="H16:N16"/>
    <mergeCell ref="I7:K7"/>
    <mergeCell ref="B10:N10"/>
    <mergeCell ref="F11:G11"/>
    <mergeCell ref="B7:C7"/>
    <mergeCell ref="B16:F16"/>
    <mergeCell ref="A1:N1"/>
    <mergeCell ref="F12:G12"/>
    <mergeCell ref="L12:M12"/>
    <mergeCell ref="G7:H7"/>
    <mergeCell ref="B11:C11"/>
    <mergeCell ref="D11:E11"/>
    <mergeCell ref="G6:H6"/>
    <mergeCell ref="H11:I11"/>
    <mergeCell ref="E6:F6"/>
    <mergeCell ref="J11:K11"/>
    <mergeCell ref="A2:N2"/>
    <mergeCell ref="D12:E12"/>
    <mergeCell ref="I6:K6"/>
    <mergeCell ref="L7:N7"/>
    <mergeCell ref="B6:C6"/>
    <mergeCell ref="H12:I12"/>
    <mergeCell ref="B31:N32"/>
    <mergeCell ref="J14:K14"/>
    <mergeCell ref="J13:K13"/>
    <mergeCell ref="L13:M13"/>
    <mergeCell ref="B12:C12"/>
    <mergeCell ref="D13:E13"/>
    <mergeCell ref="B14:C14"/>
    <mergeCell ref="L14:M14"/>
    <mergeCell ref="B13:C13"/>
    <mergeCell ref="F13:G13"/>
    <mergeCell ref="H13:I13"/>
    <mergeCell ref="J12:K12"/>
  </mergeCells>
  <conditionalFormatting sqref="F8">
    <cfRule type="expression" dxfId="20" priority="1">
      <formula>F8="ABOVE TARGET"</formula>
    </cfRule>
    <cfRule type="expression" dxfId="19" priority="3">
      <formula>F8="ON TARGET"</formula>
    </cfRule>
  </conditionalFormatting>
  <conditionalFormatting sqref="H8">
    <cfRule type="expression" dxfId="18" priority="2">
      <formula>H8="ABOVE TARGET"</formula>
    </cfRule>
    <cfRule type="expression" dxfId="17" priority="4">
      <formula>H8="ON TARGET"</formula>
    </cfRule>
  </conditionalFormatting>
  <pageMargins left="0.75" right="0.75" top="1" bottom="1" header="0.5" footer="0.5"/>
  <pageSetup paperSize="9" fitToHeight="0" orientation="landscape"/>
  <headerFooter>
    <oddHeader>&amp;LKAZ PP Expansion | EHS</oddHeader>
    <oddFooter>&amp;RConfidential | Page &amp;P of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5D6D7E"/>
    <pageSetUpPr fitToPage="1"/>
  </sheetPr>
  <dimension ref="A1:J29"/>
  <sheetViews>
    <sheetView showGridLines="0" workbookViewId="0">
      <pane ySplit="4" topLeftCell="A5" activePane="bottomLeft" state="frozen"/>
      <selection pane="bottomLeft"/>
    </sheetView>
  </sheetViews>
  <sheetFormatPr defaultRowHeight="13.8" x14ac:dyDescent="0.25"/>
  <cols>
    <col min="1" max="1" width="4" customWidth="1"/>
    <col min="2" max="2" width="28" customWidth="1"/>
    <col min="3" max="6" width="22" customWidth="1"/>
    <col min="7" max="7" width="28" customWidth="1"/>
    <col min="8" max="10" width="18" customWidth="1"/>
  </cols>
  <sheetData>
    <row r="1" spans="1:10" ht="31.95" customHeight="1" x14ac:dyDescent="0.25">
      <c r="A1" s="29" t="s">
        <v>108</v>
      </c>
      <c r="B1" s="25"/>
      <c r="C1" s="25"/>
      <c r="D1" s="25"/>
      <c r="E1" s="25"/>
      <c r="F1" s="25"/>
      <c r="G1" s="25"/>
      <c r="H1" s="25"/>
      <c r="I1" s="25"/>
      <c r="J1" s="25"/>
    </row>
    <row r="2" spans="1:10" ht="19.95" customHeight="1" x14ac:dyDescent="0.25">
      <c r="A2" s="34" t="s">
        <v>109</v>
      </c>
      <c r="B2" s="25"/>
      <c r="C2" s="25"/>
      <c r="D2" s="25"/>
      <c r="E2" s="25"/>
      <c r="F2" s="25"/>
      <c r="G2" s="25"/>
      <c r="H2" s="25"/>
      <c r="I2" s="25"/>
      <c r="J2" s="25"/>
    </row>
    <row r="4" spans="1:10" ht="14.4" x14ac:dyDescent="0.25">
      <c r="B4" s="5" t="s">
        <v>110</v>
      </c>
      <c r="C4" s="5" t="s">
        <v>111</v>
      </c>
      <c r="D4" s="5" t="s">
        <v>112</v>
      </c>
      <c r="E4" s="5" t="s">
        <v>113</v>
      </c>
      <c r="F4" s="5" t="s">
        <v>114</v>
      </c>
      <c r="G4" s="5" t="s">
        <v>115</v>
      </c>
      <c r="H4" s="5" t="s">
        <v>116</v>
      </c>
      <c r="I4" s="5" t="s">
        <v>117</v>
      </c>
      <c r="J4" s="5" t="s">
        <v>118</v>
      </c>
    </row>
    <row r="5" spans="1:10" ht="14.4" x14ac:dyDescent="0.3">
      <c r="B5" s="4" t="s">
        <v>100</v>
      </c>
      <c r="C5" s="4" t="s">
        <v>119</v>
      </c>
      <c r="D5" s="4" t="s">
        <v>120</v>
      </c>
      <c r="E5" s="4" t="s">
        <v>92</v>
      </c>
      <c r="F5" s="4" t="s">
        <v>78</v>
      </c>
      <c r="G5" s="4" t="s">
        <v>121</v>
      </c>
      <c r="H5" s="4" t="s">
        <v>122</v>
      </c>
      <c r="I5" s="4" t="s">
        <v>92</v>
      </c>
      <c r="J5" s="4" t="s">
        <v>123</v>
      </c>
    </row>
    <row r="6" spans="1:10" ht="14.4" x14ac:dyDescent="0.3">
      <c r="B6" s="4" t="s">
        <v>104</v>
      </c>
      <c r="C6" s="4" t="s">
        <v>124</v>
      </c>
      <c r="D6" s="4" t="s">
        <v>125</v>
      </c>
      <c r="E6" s="4" t="s">
        <v>93</v>
      </c>
      <c r="F6" s="4" t="s">
        <v>126</v>
      </c>
      <c r="G6" s="4" t="s">
        <v>127</v>
      </c>
      <c r="H6" s="4" t="s">
        <v>128</v>
      </c>
      <c r="I6" s="4" t="s">
        <v>93</v>
      </c>
      <c r="J6" s="4" t="s">
        <v>129</v>
      </c>
    </row>
    <row r="7" spans="1:10" ht="14.4" x14ac:dyDescent="0.3">
      <c r="B7" s="4" t="s">
        <v>102</v>
      </c>
      <c r="C7" s="4" t="s">
        <v>130</v>
      </c>
      <c r="D7" s="4" t="s">
        <v>131</v>
      </c>
      <c r="E7" s="4" t="s">
        <v>132</v>
      </c>
      <c r="F7" s="4" t="s">
        <v>133</v>
      </c>
      <c r="G7" s="4" t="s">
        <v>134</v>
      </c>
      <c r="H7" s="4" t="s">
        <v>135</v>
      </c>
      <c r="I7" s="4" t="s">
        <v>136</v>
      </c>
      <c r="J7" s="4" t="s">
        <v>137</v>
      </c>
    </row>
    <row r="8" spans="1:10" ht="14.4" x14ac:dyDescent="0.3">
      <c r="B8" s="4" t="s">
        <v>103</v>
      </c>
      <c r="C8" s="4" t="s">
        <v>138</v>
      </c>
      <c r="D8" s="4" t="s">
        <v>139</v>
      </c>
      <c r="E8" s="4" t="s">
        <v>140</v>
      </c>
      <c r="F8" s="4" t="s">
        <v>81</v>
      </c>
      <c r="G8" s="4" t="s">
        <v>141</v>
      </c>
      <c r="H8" s="4" t="s">
        <v>142</v>
      </c>
    </row>
    <row r="9" spans="1:10" ht="14.4" x14ac:dyDescent="0.3">
      <c r="B9" s="4" t="s">
        <v>101</v>
      </c>
      <c r="E9" s="4" t="s">
        <v>143</v>
      </c>
      <c r="F9" s="4" t="s">
        <v>144</v>
      </c>
      <c r="G9" s="4" t="s">
        <v>145</v>
      </c>
      <c r="H9" s="4" t="s">
        <v>146</v>
      </c>
    </row>
    <row r="10" spans="1:10" ht="14.4" x14ac:dyDescent="0.3">
      <c r="B10" s="4" t="s">
        <v>105</v>
      </c>
      <c r="E10" s="4" t="s">
        <v>147</v>
      </c>
      <c r="F10" s="4" t="s">
        <v>148</v>
      </c>
      <c r="G10" s="4" t="s">
        <v>149</v>
      </c>
      <c r="H10" s="4" t="s">
        <v>150</v>
      </c>
    </row>
    <row r="11" spans="1:10" ht="14.4" x14ac:dyDescent="0.3">
      <c r="B11" s="4" t="s">
        <v>106</v>
      </c>
      <c r="E11" s="4" t="s">
        <v>151</v>
      </c>
      <c r="F11" s="4" t="s">
        <v>152</v>
      </c>
      <c r="G11" s="4" t="s">
        <v>153</v>
      </c>
      <c r="H11" s="4" t="s">
        <v>154</v>
      </c>
    </row>
    <row r="12" spans="1:10" ht="14.4" x14ac:dyDescent="0.3">
      <c r="B12" s="4" t="s">
        <v>155</v>
      </c>
      <c r="E12" s="4" t="s">
        <v>156</v>
      </c>
      <c r="F12" s="4" t="s">
        <v>157</v>
      </c>
      <c r="G12" s="4" t="s">
        <v>158</v>
      </c>
      <c r="H12" s="4" t="s">
        <v>159</v>
      </c>
    </row>
    <row r="13" spans="1:10" ht="14.4" x14ac:dyDescent="0.3">
      <c r="B13" s="4" t="s">
        <v>160</v>
      </c>
      <c r="F13" s="4" t="s">
        <v>161</v>
      </c>
      <c r="G13" s="4" t="s">
        <v>162</v>
      </c>
      <c r="H13" s="4" t="s">
        <v>163</v>
      </c>
    </row>
    <row r="14" spans="1:10" ht="14.4" x14ac:dyDescent="0.3">
      <c r="B14" s="4" t="s">
        <v>164</v>
      </c>
      <c r="F14" s="4" t="s">
        <v>165</v>
      </c>
      <c r="G14" s="4" t="s">
        <v>166</v>
      </c>
      <c r="H14" s="4" t="s">
        <v>167</v>
      </c>
    </row>
    <row r="15" spans="1:10" ht="14.4" x14ac:dyDescent="0.3">
      <c r="B15" s="4" t="s">
        <v>168</v>
      </c>
      <c r="F15" s="4" t="s">
        <v>169</v>
      </c>
      <c r="G15" s="4" t="s">
        <v>170</v>
      </c>
      <c r="H15" s="4" t="s">
        <v>171</v>
      </c>
    </row>
    <row r="16" spans="1:10" ht="14.4" x14ac:dyDescent="0.3">
      <c r="B16" s="4" t="s">
        <v>172</v>
      </c>
      <c r="F16" s="4" t="s">
        <v>173</v>
      </c>
      <c r="G16" s="4" t="s">
        <v>174</v>
      </c>
      <c r="H16" s="4" t="s">
        <v>175</v>
      </c>
    </row>
    <row r="17" spans="2:7" ht="14.4" x14ac:dyDescent="0.3">
      <c r="B17" s="4" t="s">
        <v>176</v>
      </c>
      <c r="G17" s="4" t="s">
        <v>177</v>
      </c>
    </row>
    <row r="18" spans="2:7" ht="14.4" x14ac:dyDescent="0.3">
      <c r="B18" s="4" t="s">
        <v>178</v>
      </c>
      <c r="G18" s="4" t="s">
        <v>179</v>
      </c>
    </row>
    <row r="19" spans="2:7" ht="14.4" x14ac:dyDescent="0.3">
      <c r="B19" s="4" t="s">
        <v>180</v>
      </c>
      <c r="G19" s="4" t="s">
        <v>181</v>
      </c>
    </row>
    <row r="20" spans="2:7" ht="14.4" x14ac:dyDescent="0.3">
      <c r="B20" s="4" t="s">
        <v>182</v>
      </c>
      <c r="G20" s="4" t="s">
        <v>183</v>
      </c>
    </row>
    <row r="21" spans="2:7" ht="14.4" x14ac:dyDescent="0.3">
      <c r="B21" s="4" t="s">
        <v>184</v>
      </c>
    </row>
    <row r="22" spans="2:7" ht="14.4" x14ac:dyDescent="0.3">
      <c r="B22" s="4" t="s">
        <v>185</v>
      </c>
    </row>
    <row r="23" spans="2:7" ht="14.4" x14ac:dyDescent="0.3">
      <c r="B23" s="4" t="s">
        <v>186</v>
      </c>
    </row>
    <row r="24" spans="2:7" ht="14.4" x14ac:dyDescent="0.3">
      <c r="B24" s="4" t="s">
        <v>187</v>
      </c>
    </row>
    <row r="28" spans="2:7" ht="14.4" x14ac:dyDescent="0.3">
      <c r="B28" s="46" t="s">
        <v>188</v>
      </c>
      <c r="C28" s="25"/>
      <c r="D28" s="25"/>
    </row>
    <row r="29" spans="2:7" x14ac:dyDescent="0.25">
      <c r="B29" t="s">
        <v>189</v>
      </c>
    </row>
  </sheetData>
  <mergeCells count="3">
    <mergeCell ref="B28:D28"/>
    <mergeCell ref="A1:J1"/>
    <mergeCell ref="A2:J2"/>
  </mergeCells>
  <pageMargins left="0.75" right="0.75" top="1" bottom="1" header="0.5" footer="0.5"/>
  <pageSetup paperSize="9" fitToHeight="0" orientation="landscape"/>
  <headerFooter>
    <oddHeader>&amp;LKAZ PP Expansion | EHS</oddHeader>
    <oddFooter>&amp;RConfidential | 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B2545"/>
    <pageSetUpPr fitToPage="1"/>
  </sheetPr>
  <dimension ref="A1:H42"/>
  <sheetViews>
    <sheetView showGridLines="0" workbookViewId="0">
      <pane ySplit="4" topLeftCell="A5" activePane="bottomLeft" state="frozen"/>
      <selection pane="bottomLeft"/>
    </sheetView>
  </sheetViews>
  <sheetFormatPr defaultRowHeight="13.8" x14ac:dyDescent="0.25"/>
  <cols>
    <col min="1" max="1" width="4" customWidth="1"/>
    <col min="2" max="2" width="36" customWidth="1"/>
    <col min="3" max="3" width="42" customWidth="1"/>
    <col min="4" max="4" width="28" customWidth="1"/>
    <col min="5" max="7" width="22" customWidth="1"/>
    <col min="8" max="8" width="18" customWidth="1"/>
  </cols>
  <sheetData>
    <row r="1" spans="1:8" ht="31.95" customHeight="1" x14ac:dyDescent="0.25">
      <c r="A1" s="29" t="s">
        <v>190</v>
      </c>
      <c r="B1" s="25"/>
      <c r="C1" s="25"/>
      <c r="D1" s="25"/>
      <c r="E1" s="25"/>
      <c r="F1" s="25"/>
      <c r="G1" s="25"/>
      <c r="H1" s="25"/>
    </row>
    <row r="2" spans="1:8" ht="19.95" customHeight="1" x14ac:dyDescent="0.25">
      <c r="A2" s="34" t="s">
        <v>191</v>
      </c>
      <c r="B2" s="25"/>
      <c r="C2" s="25"/>
      <c r="D2" s="25"/>
      <c r="E2" s="25"/>
      <c r="F2" s="25"/>
      <c r="G2" s="25"/>
      <c r="H2" s="25"/>
    </row>
    <row r="4" spans="1:8" ht="14.4" x14ac:dyDescent="0.25">
      <c r="B4" s="5" t="s">
        <v>192</v>
      </c>
      <c r="C4" s="5" t="s">
        <v>193</v>
      </c>
      <c r="D4" s="5" t="s">
        <v>194</v>
      </c>
    </row>
    <row r="5" spans="1:8" ht="14.4" x14ac:dyDescent="0.3">
      <c r="B5" s="1" t="s">
        <v>195</v>
      </c>
      <c r="C5" s="4" t="s">
        <v>5</v>
      </c>
      <c r="D5" s="12" t="s">
        <v>196</v>
      </c>
    </row>
    <row r="6" spans="1:8" ht="14.4" x14ac:dyDescent="0.3">
      <c r="B6" s="1" t="s">
        <v>197</v>
      </c>
      <c r="C6" s="13">
        <v>10</v>
      </c>
      <c r="D6" s="12" t="s">
        <v>198</v>
      </c>
    </row>
    <row r="7" spans="1:8" ht="14.4" x14ac:dyDescent="0.3">
      <c r="B7" s="1" t="s">
        <v>199</v>
      </c>
      <c r="C7" s="13">
        <v>1000000</v>
      </c>
      <c r="D7" s="12" t="s">
        <v>200</v>
      </c>
    </row>
    <row r="8" spans="1:8" ht="14.4" x14ac:dyDescent="0.3">
      <c r="B8" s="1" t="s">
        <v>201</v>
      </c>
      <c r="C8" s="14">
        <v>0</v>
      </c>
      <c r="D8" s="12" t="s">
        <v>202</v>
      </c>
    </row>
    <row r="9" spans="1:8" ht="14.4" x14ac:dyDescent="0.3">
      <c r="B9" s="1" t="s">
        <v>203</v>
      </c>
      <c r="C9" s="14">
        <v>1.5</v>
      </c>
      <c r="D9" s="12" t="s">
        <v>202</v>
      </c>
    </row>
    <row r="10" spans="1:8" ht="14.4" x14ac:dyDescent="0.3">
      <c r="B10" s="1" t="s">
        <v>204</v>
      </c>
      <c r="C10" s="13">
        <v>7</v>
      </c>
      <c r="D10" s="12" t="s">
        <v>205</v>
      </c>
    </row>
    <row r="11" spans="1:8" ht="14.4" x14ac:dyDescent="0.3">
      <c r="B11" s="1" t="s">
        <v>206</v>
      </c>
      <c r="C11" s="13">
        <v>1</v>
      </c>
      <c r="D11" s="12" t="s">
        <v>207</v>
      </c>
    </row>
    <row r="12" spans="1:8" ht="14.4" x14ac:dyDescent="0.3">
      <c r="B12" s="1" t="s">
        <v>208</v>
      </c>
      <c r="C12" s="13">
        <v>30</v>
      </c>
      <c r="D12" s="12" t="s">
        <v>209</v>
      </c>
    </row>
    <row r="13" spans="1:8" ht="14.4" x14ac:dyDescent="0.3">
      <c r="B13" s="1" t="s">
        <v>210</v>
      </c>
      <c r="C13" s="13">
        <v>7</v>
      </c>
      <c r="D13" s="12" t="s">
        <v>211</v>
      </c>
    </row>
    <row r="14" spans="1:8" ht="14.4" x14ac:dyDescent="0.3">
      <c r="B14" s="1" t="s">
        <v>212</v>
      </c>
      <c r="C14" s="13">
        <v>14</v>
      </c>
      <c r="D14" s="12"/>
    </row>
    <row r="15" spans="1:8" ht="14.4" x14ac:dyDescent="0.3">
      <c r="B15" s="1" t="s">
        <v>213</v>
      </c>
      <c r="C15" s="13">
        <v>-2</v>
      </c>
      <c r="D15" s="12" t="s">
        <v>214</v>
      </c>
    </row>
    <row r="16" spans="1:8" ht="14.4" x14ac:dyDescent="0.3">
      <c r="B16" s="1" t="s">
        <v>215</v>
      </c>
      <c r="C16" s="13">
        <v>-5</v>
      </c>
      <c r="D16" s="12"/>
    </row>
    <row r="17" spans="2:4" ht="14.4" x14ac:dyDescent="0.3">
      <c r="B17" s="1" t="s">
        <v>216</v>
      </c>
      <c r="C17" s="13">
        <v>-8</v>
      </c>
      <c r="D17" s="12"/>
    </row>
    <row r="18" spans="2:4" ht="14.4" x14ac:dyDescent="0.3">
      <c r="B18" s="1" t="s">
        <v>217</v>
      </c>
      <c r="C18" s="13">
        <v>-25</v>
      </c>
      <c r="D18" s="12"/>
    </row>
    <row r="19" spans="2:4" ht="14.4" x14ac:dyDescent="0.3">
      <c r="B19" s="1" t="s">
        <v>218</v>
      </c>
      <c r="C19" s="13">
        <v>-15</v>
      </c>
      <c r="D19" s="12"/>
    </row>
    <row r="20" spans="2:4" ht="14.4" x14ac:dyDescent="0.3">
      <c r="B20" s="1" t="s">
        <v>219</v>
      </c>
      <c r="C20" s="13">
        <v>1</v>
      </c>
      <c r="D20" s="12" t="s">
        <v>220</v>
      </c>
    </row>
    <row r="21" spans="2:4" ht="14.4" x14ac:dyDescent="0.3">
      <c r="B21" s="1" t="s">
        <v>221</v>
      </c>
      <c r="C21" s="13">
        <v>100</v>
      </c>
      <c r="D21" s="12" t="s">
        <v>222</v>
      </c>
    </row>
    <row r="22" spans="2:4" ht="14.4" x14ac:dyDescent="0.3">
      <c r="B22" s="1" t="s">
        <v>223</v>
      </c>
      <c r="C22" s="13">
        <v>0</v>
      </c>
      <c r="D22" s="12"/>
    </row>
    <row r="23" spans="2:4" ht="14.4" x14ac:dyDescent="0.3">
      <c r="B23" s="1" t="s">
        <v>224</v>
      </c>
      <c r="C23" s="4" t="s">
        <v>225</v>
      </c>
      <c r="D23" s="12" t="s">
        <v>226</v>
      </c>
    </row>
    <row r="24" spans="2:4" ht="14.4" x14ac:dyDescent="0.3">
      <c r="B24" s="1" t="s">
        <v>227</v>
      </c>
      <c r="C24" s="4" t="s">
        <v>228</v>
      </c>
      <c r="D24" s="12"/>
    </row>
    <row r="25" spans="2:4" ht="14.4" x14ac:dyDescent="0.3">
      <c r="B25" s="1" t="s">
        <v>229</v>
      </c>
      <c r="C25" s="4" t="s">
        <v>230</v>
      </c>
      <c r="D25" s="12" t="s">
        <v>231</v>
      </c>
    </row>
    <row r="26" spans="2:4" ht="14.4" x14ac:dyDescent="0.3">
      <c r="B26" s="1" t="s">
        <v>232</v>
      </c>
      <c r="C26" s="4" t="s">
        <v>230</v>
      </c>
      <c r="D26" s="12" t="s">
        <v>231</v>
      </c>
    </row>
    <row r="27" spans="2:4" ht="14.4" x14ac:dyDescent="0.3">
      <c r="B27" s="1" t="s">
        <v>233</v>
      </c>
      <c r="C27" s="4" t="s">
        <v>234</v>
      </c>
      <c r="D27" s="12" t="s">
        <v>235</v>
      </c>
    </row>
    <row r="28" spans="2:4" ht="14.4" x14ac:dyDescent="0.3">
      <c r="B28" s="1" t="s">
        <v>236</v>
      </c>
      <c r="C28" s="4"/>
      <c r="D28" s="12" t="s">
        <v>237</v>
      </c>
    </row>
    <row r="29" spans="2:4" ht="14.4" x14ac:dyDescent="0.3">
      <c r="B29" s="1" t="s">
        <v>238</v>
      </c>
      <c r="C29" s="4" t="s">
        <v>239</v>
      </c>
      <c r="D29" s="12" t="s">
        <v>240</v>
      </c>
    </row>
    <row r="30" spans="2:4" ht="14.4" x14ac:dyDescent="0.3">
      <c r="B30" s="1" t="s">
        <v>241</v>
      </c>
      <c r="C30" s="4" t="s">
        <v>242</v>
      </c>
      <c r="D30" s="12" t="s">
        <v>243</v>
      </c>
    </row>
    <row r="31" spans="2:4" ht="14.4" x14ac:dyDescent="0.3">
      <c r="B31" s="1" t="s">
        <v>244</v>
      </c>
      <c r="C31" s="4"/>
      <c r="D31" s="12" t="s">
        <v>245</v>
      </c>
    </row>
    <row r="32" spans="2:4" ht="14.4" x14ac:dyDescent="0.3">
      <c r="B32" s="1" t="s">
        <v>246</v>
      </c>
      <c r="C32" s="4" t="s">
        <v>247</v>
      </c>
      <c r="D32" s="12"/>
    </row>
    <row r="34" spans="2:8" ht="14.4" x14ac:dyDescent="0.3">
      <c r="B34" s="46" t="s">
        <v>248</v>
      </c>
      <c r="C34" s="25"/>
      <c r="D34" s="25"/>
    </row>
    <row r="35" spans="2:8" ht="14.4" x14ac:dyDescent="0.25">
      <c r="B35" s="5"/>
      <c r="C35" s="5" t="s">
        <v>249</v>
      </c>
      <c r="D35" s="5" t="s">
        <v>250</v>
      </c>
    </row>
    <row r="36" spans="2:8" ht="14.4" x14ac:dyDescent="0.3">
      <c r="B36" s="15" t="s">
        <v>251</v>
      </c>
      <c r="C36" s="4">
        <v>90</v>
      </c>
      <c r="D36" s="15" t="s">
        <v>252</v>
      </c>
    </row>
    <row r="37" spans="2:8" ht="14.4" x14ac:dyDescent="0.3">
      <c r="B37" s="15" t="s">
        <v>253</v>
      </c>
      <c r="C37" s="4">
        <v>75</v>
      </c>
      <c r="D37" s="15" t="s">
        <v>254</v>
      </c>
    </row>
    <row r="38" spans="2:8" ht="14.4" x14ac:dyDescent="0.3">
      <c r="B38" s="15" t="s">
        <v>255</v>
      </c>
      <c r="C38" s="4">
        <v>60</v>
      </c>
      <c r="D38" s="15" t="s">
        <v>256</v>
      </c>
    </row>
    <row r="39" spans="2:8" ht="14.4" x14ac:dyDescent="0.3">
      <c r="B39" s="15" t="s">
        <v>257</v>
      </c>
      <c r="C39" s="4">
        <v>0</v>
      </c>
      <c r="D39" s="15" t="s">
        <v>258</v>
      </c>
    </row>
    <row r="41" spans="2:8" x14ac:dyDescent="0.25">
      <c r="B41" s="51" t="s">
        <v>259</v>
      </c>
      <c r="C41" s="25"/>
      <c r="D41" s="25"/>
      <c r="E41" s="25"/>
      <c r="F41" s="25"/>
      <c r="G41" s="25"/>
      <c r="H41" s="25"/>
    </row>
    <row r="42" spans="2:8" x14ac:dyDescent="0.25">
      <c r="B42" s="25"/>
      <c r="C42" s="25"/>
      <c r="D42" s="25"/>
      <c r="E42" s="25"/>
      <c r="F42" s="25"/>
      <c r="G42" s="25"/>
      <c r="H42" s="25"/>
    </row>
  </sheetData>
  <mergeCells count="4">
    <mergeCell ref="B41:H42"/>
    <mergeCell ref="A2:H2"/>
    <mergeCell ref="B34:D34"/>
    <mergeCell ref="A1:H1"/>
  </mergeCells>
  <pageMargins left="0.75" right="0.75" top="1" bottom="1" header="0.5" footer="0.5"/>
  <pageSetup paperSize="9" fitToHeight="0" orientation="landscape"/>
  <headerFooter>
    <oddHeader>&amp;LKAZ PP Expansion | EHS</oddHeader>
    <oddFooter>&amp;RConfidential | 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1ABC9C"/>
    <pageSetUpPr fitToPage="1"/>
  </sheetPr>
  <dimension ref="A1:P80"/>
  <sheetViews>
    <sheetView showGridLines="0" workbookViewId="0">
      <pane ySplit="4" topLeftCell="A5" activePane="bottomLeft" state="frozen"/>
      <selection pane="bottomLeft"/>
    </sheetView>
  </sheetViews>
  <sheetFormatPr defaultRowHeight="13.8" x14ac:dyDescent="0.25"/>
  <cols>
    <col min="1" max="1" width="5" customWidth="1"/>
    <col min="2" max="2" width="14" customWidth="1"/>
    <col min="3" max="3" width="12" customWidth="1"/>
    <col min="4" max="5" width="14" customWidth="1"/>
    <col min="6" max="6" width="12" customWidth="1"/>
    <col min="7" max="8" width="14" customWidth="1"/>
    <col min="9" max="9" width="12" customWidth="1"/>
    <col min="10" max="10" width="14" customWidth="1"/>
    <col min="11" max="12" width="16" customWidth="1"/>
    <col min="13" max="13" width="14" customWidth="1"/>
    <col min="14" max="14" width="18" customWidth="1"/>
    <col min="15" max="15" width="14" customWidth="1"/>
    <col min="16" max="16" width="16" customWidth="1"/>
  </cols>
  <sheetData>
    <row r="1" spans="1:16" ht="31.95" customHeight="1" x14ac:dyDescent="0.25">
      <c r="A1" s="29" t="s">
        <v>260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</row>
    <row r="2" spans="1:16" ht="19.95" customHeight="1" x14ac:dyDescent="0.25">
      <c r="A2" s="34" t="s">
        <v>261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</row>
    <row r="4" spans="1:16" ht="14.4" x14ac:dyDescent="0.3">
      <c r="B4" s="54" t="s">
        <v>262</v>
      </c>
      <c r="C4" s="25"/>
      <c r="D4" s="25"/>
      <c r="E4" t="s">
        <v>263</v>
      </c>
      <c r="F4" s="2">
        <f>Admin!C6</f>
        <v>10</v>
      </c>
      <c r="G4" s="55" t="s">
        <v>264</v>
      </c>
      <c r="H4" s="25"/>
      <c r="I4" s="25"/>
      <c r="J4" s="52">
        <f>I5</f>
        <v>23980</v>
      </c>
      <c r="K4" s="25"/>
      <c r="L4" t="s">
        <v>265</v>
      </c>
      <c r="M4" s="9">
        <f>SUMIF(C8:C400,"Team Seisms",K8:K400)+SUMIF(C8:C400,"Shared / Indirect",K8:K400)/2</f>
        <v>0</v>
      </c>
      <c r="N4" s="9">
        <f>I5</f>
        <v>23980</v>
      </c>
    </row>
    <row r="5" spans="1:16" ht="14.4" x14ac:dyDescent="0.3">
      <c r="B5" t="s">
        <v>266</v>
      </c>
      <c r="C5" s="9">
        <f>SUM(G8:G400)</f>
        <v>12680</v>
      </c>
      <c r="D5" t="s">
        <v>267</v>
      </c>
      <c r="E5" s="9">
        <f>SUM(J8:J400)</f>
        <v>10180</v>
      </c>
      <c r="F5" t="s">
        <v>268</v>
      </c>
      <c r="G5" s="9">
        <f>SUM(L8:L400)</f>
        <v>1120</v>
      </c>
      <c r="H5" t="s">
        <v>269</v>
      </c>
      <c r="I5" s="53">
        <f>SUM(M8:M400)</f>
        <v>23980</v>
      </c>
      <c r="J5" s="25"/>
      <c r="K5" s="25"/>
      <c r="L5" s="25" t="s">
        <v>270</v>
      </c>
      <c r="M5" s="25"/>
      <c r="N5" s="25"/>
      <c r="O5" s="25"/>
      <c r="P5" s="25"/>
    </row>
    <row r="6" spans="1:16" x14ac:dyDescent="0.25">
      <c r="B6" s="25" t="s">
        <v>271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</row>
    <row r="7" spans="1:16" ht="28.8" x14ac:dyDescent="0.25">
      <c r="B7" s="5" t="s">
        <v>272</v>
      </c>
      <c r="C7" s="5" t="s">
        <v>123</v>
      </c>
      <c r="D7" s="5" t="s">
        <v>118</v>
      </c>
      <c r="E7" s="5" t="s">
        <v>273</v>
      </c>
      <c r="F7" s="5" t="s">
        <v>274</v>
      </c>
      <c r="G7" s="5" t="s">
        <v>275</v>
      </c>
      <c r="H7" s="5" t="s">
        <v>276</v>
      </c>
      <c r="I7" s="5" t="s">
        <v>277</v>
      </c>
      <c r="J7" s="5" t="s">
        <v>278</v>
      </c>
      <c r="K7" s="5" t="s">
        <v>279</v>
      </c>
      <c r="L7" s="5" t="s">
        <v>280</v>
      </c>
      <c r="M7" s="5" t="s">
        <v>281</v>
      </c>
      <c r="N7" s="5" t="s">
        <v>282</v>
      </c>
      <c r="O7" s="5" t="s">
        <v>283</v>
      </c>
      <c r="P7" s="5" t="s">
        <v>284</v>
      </c>
    </row>
    <row r="8" spans="1:16" ht="18" customHeight="1" x14ac:dyDescent="0.3">
      <c r="B8" s="16">
        <v>46082</v>
      </c>
      <c r="C8" s="2" t="str">
        <f t="shared" ref="C8:C21" si="0">TEXT(B8,"DDD")</f>
        <v>الأحد</v>
      </c>
      <c r="D8" s="4" t="s">
        <v>123</v>
      </c>
      <c r="E8" s="13">
        <v>85</v>
      </c>
      <c r="F8" s="17">
        <v>10</v>
      </c>
      <c r="G8" s="9">
        <f t="shared" ref="G8:G21" si="1">E8*F8</f>
        <v>850</v>
      </c>
      <c r="H8" s="13">
        <v>70</v>
      </c>
      <c r="I8" s="17">
        <v>10</v>
      </c>
      <c r="J8" s="9">
        <f t="shared" ref="J8:J21" si="2">H8*I8</f>
        <v>700</v>
      </c>
      <c r="K8" s="4">
        <v>8</v>
      </c>
      <c r="L8" s="9">
        <f>K8*Admin!$C$6</f>
        <v>80</v>
      </c>
      <c r="M8" s="9">
        <f t="shared" ref="M8:M21" si="3">G8+J8+L8</f>
        <v>1630</v>
      </c>
      <c r="N8" s="4"/>
      <c r="O8" s="4" t="s">
        <v>285</v>
      </c>
      <c r="P8" s="4"/>
    </row>
    <row r="9" spans="1:16" ht="18" customHeight="1" x14ac:dyDescent="0.3">
      <c r="B9" s="16">
        <v>46083</v>
      </c>
      <c r="C9" s="2" t="str">
        <f t="shared" si="0"/>
        <v>الإثنين</v>
      </c>
      <c r="D9" s="4" t="s">
        <v>123</v>
      </c>
      <c r="E9" s="13">
        <v>88</v>
      </c>
      <c r="F9" s="17">
        <v>10</v>
      </c>
      <c r="G9" s="9">
        <f t="shared" si="1"/>
        <v>880</v>
      </c>
      <c r="H9" s="13">
        <v>72</v>
      </c>
      <c r="I9" s="17">
        <v>10</v>
      </c>
      <c r="J9" s="9">
        <f t="shared" si="2"/>
        <v>720</v>
      </c>
      <c r="K9" s="4">
        <v>8</v>
      </c>
      <c r="L9" s="9">
        <f>K9*Admin!$C$6</f>
        <v>80</v>
      </c>
      <c r="M9" s="9">
        <f t="shared" si="3"/>
        <v>1680</v>
      </c>
      <c r="N9" s="4"/>
      <c r="O9" s="4" t="s">
        <v>285</v>
      </c>
      <c r="P9" s="4"/>
    </row>
    <row r="10" spans="1:16" ht="18" customHeight="1" x14ac:dyDescent="0.3">
      <c r="B10" s="16">
        <v>46084</v>
      </c>
      <c r="C10" s="2" t="str">
        <f t="shared" si="0"/>
        <v>الثلاثاء</v>
      </c>
      <c r="D10" s="4" t="s">
        <v>123</v>
      </c>
      <c r="E10" s="13">
        <v>91</v>
      </c>
      <c r="F10" s="17">
        <v>10</v>
      </c>
      <c r="G10" s="9">
        <f t="shared" si="1"/>
        <v>910</v>
      </c>
      <c r="H10" s="13">
        <v>74</v>
      </c>
      <c r="I10" s="17">
        <v>10</v>
      </c>
      <c r="J10" s="9">
        <f t="shared" si="2"/>
        <v>740</v>
      </c>
      <c r="K10" s="4">
        <v>8</v>
      </c>
      <c r="L10" s="9">
        <f>K10*Admin!$C$6</f>
        <v>80</v>
      </c>
      <c r="M10" s="9">
        <f t="shared" si="3"/>
        <v>1730</v>
      </c>
      <c r="N10" s="4"/>
      <c r="O10" s="4" t="s">
        <v>285</v>
      </c>
      <c r="P10" s="4"/>
    </row>
    <row r="11" spans="1:16" ht="18" customHeight="1" x14ac:dyDescent="0.3">
      <c r="B11" s="16">
        <v>46085</v>
      </c>
      <c r="C11" s="2" t="str">
        <f t="shared" si="0"/>
        <v>الأربعاء</v>
      </c>
      <c r="D11" s="4" t="s">
        <v>123</v>
      </c>
      <c r="E11" s="13">
        <v>94</v>
      </c>
      <c r="F11" s="17">
        <v>10</v>
      </c>
      <c r="G11" s="9">
        <f t="shared" si="1"/>
        <v>940</v>
      </c>
      <c r="H11" s="13">
        <v>76</v>
      </c>
      <c r="I11" s="17">
        <v>10</v>
      </c>
      <c r="J11" s="9">
        <f t="shared" si="2"/>
        <v>760</v>
      </c>
      <c r="K11" s="4">
        <v>8</v>
      </c>
      <c r="L11" s="9">
        <f>K11*Admin!$C$6</f>
        <v>80</v>
      </c>
      <c r="M11" s="9">
        <f t="shared" si="3"/>
        <v>1780</v>
      </c>
      <c r="N11" s="4"/>
      <c r="O11" s="4" t="s">
        <v>285</v>
      </c>
      <c r="P11" s="4"/>
    </row>
    <row r="12" spans="1:16" ht="18" customHeight="1" x14ac:dyDescent="0.3">
      <c r="B12" s="16">
        <v>46086</v>
      </c>
      <c r="C12" s="2" t="str">
        <f t="shared" si="0"/>
        <v>الخميس</v>
      </c>
      <c r="D12" s="4" t="s">
        <v>123</v>
      </c>
      <c r="E12" s="13">
        <v>97</v>
      </c>
      <c r="F12" s="17">
        <v>10</v>
      </c>
      <c r="G12" s="9">
        <f t="shared" si="1"/>
        <v>970</v>
      </c>
      <c r="H12" s="13">
        <v>70</v>
      </c>
      <c r="I12" s="17">
        <v>10</v>
      </c>
      <c r="J12" s="9">
        <f t="shared" si="2"/>
        <v>700</v>
      </c>
      <c r="K12" s="4">
        <v>8</v>
      </c>
      <c r="L12" s="9">
        <f>K12*Admin!$C$6</f>
        <v>80</v>
      </c>
      <c r="M12" s="9">
        <f t="shared" si="3"/>
        <v>1750</v>
      </c>
      <c r="N12" s="4"/>
      <c r="O12" s="4" t="s">
        <v>285</v>
      </c>
      <c r="P12" s="4"/>
    </row>
    <row r="13" spans="1:16" ht="18" customHeight="1" x14ac:dyDescent="0.3">
      <c r="B13" s="16">
        <v>46087</v>
      </c>
      <c r="C13" s="2" t="str">
        <f t="shared" si="0"/>
        <v>الجمعة</v>
      </c>
      <c r="D13" s="4" t="s">
        <v>123</v>
      </c>
      <c r="E13" s="13">
        <v>85</v>
      </c>
      <c r="F13" s="17">
        <v>10</v>
      </c>
      <c r="G13" s="9">
        <f t="shared" si="1"/>
        <v>850</v>
      </c>
      <c r="H13" s="13">
        <v>72</v>
      </c>
      <c r="I13" s="17">
        <v>10</v>
      </c>
      <c r="J13" s="9">
        <f t="shared" si="2"/>
        <v>720</v>
      </c>
      <c r="K13" s="4">
        <v>8</v>
      </c>
      <c r="L13" s="9">
        <f>K13*Admin!$C$6</f>
        <v>80</v>
      </c>
      <c r="M13" s="9">
        <f t="shared" si="3"/>
        <v>1650</v>
      </c>
      <c r="N13" s="4"/>
      <c r="O13" s="4" t="s">
        <v>285</v>
      </c>
      <c r="P13" s="4"/>
    </row>
    <row r="14" spans="1:16" ht="18" customHeight="1" x14ac:dyDescent="0.3">
      <c r="B14" s="16">
        <v>46088</v>
      </c>
      <c r="C14" s="2" t="str">
        <f t="shared" si="0"/>
        <v>السبت</v>
      </c>
      <c r="D14" s="4" t="s">
        <v>123</v>
      </c>
      <c r="E14" s="13">
        <v>88</v>
      </c>
      <c r="F14" s="17">
        <v>10</v>
      </c>
      <c r="G14" s="9">
        <f t="shared" si="1"/>
        <v>880</v>
      </c>
      <c r="H14" s="13">
        <v>74</v>
      </c>
      <c r="I14" s="17">
        <v>10</v>
      </c>
      <c r="J14" s="9">
        <f t="shared" si="2"/>
        <v>740</v>
      </c>
      <c r="K14" s="4">
        <v>8</v>
      </c>
      <c r="L14" s="9">
        <f>K14*Admin!$C$6</f>
        <v>80</v>
      </c>
      <c r="M14" s="9">
        <f t="shared" si="3"/>
        <v>1700</v>
      </c>
      <c r="N14" s="4"/>
      <c r="O14" s="4" t="s">
        <v>285</v>
      </c>
      <c r="P14" s="4"/>
    </row>
    <row r="15" spans="1:16" ht="18" customHeight="1" x14ac:dyDescent="0.3">
      <c r="B15" s="16">
        <v>46089</v>
      </c>
      <c r="C15" s="2" t="str">
        <f t="shared" si="0"/>
        <v>الأحد</v>
      </c>
      <c r="D15" s="4" t="s">
        <v>123</v>
      </c>
      <c r="E15" s="13">
        <v>91</v>
      </c>
      <c r="F15" s="17">
        <v>10</v>
      </c>
      <c r="G15" s="9">
        <f t="shared" si="1"/>
        <v>910</v>
      </c>
      <c r="H15" s="13">
        <v>76</v>
      </c>
      <c r="I15" s="17">
        <v>10</v>
      </c>
      <c r="J15" s="9">
        <f t="shared" si="2"/>
        <v>760</v>
      </c>
      <c r="K15" s="4">
        <v>8</v>
      </c>
      <c r="L15" s="9">
        <f>K15*Admin!$C$6</f>
        <v>80</v>
      </c>
      <c r="M15" s="9">
        <f t="shared" si="3"/>
        <v>1750</v>
      </c>
      <c r="N15" s="4"/>
      <c r="O15" s="4" t="s">
        <v>285</v>
      </c>
      <c r="P15" s="4"/>
    </row>
    <row r="16" spans="1:16" ht="18" customHeight="1" x14ac:dyDescent="0.3">
      <c r="B16" s="16">
        <v>46090</v>
      </c>
      <c r="C16" s="2" t="str">
        <f t="shared" si="0"/>
        <v>الإثنين</v>
      </c>
      <c r="D16" s="4" t="s">
        <v>123</v>
      </c>
      <c r="E16" s="13">
        <v>94</v>
      </c>
      <c r="F16" s="17">
        <v>10</v>
      </c>
      <c r="G16" s="9">
        <f t="shared" si="1"/>
        <v>940</v>
      </c>
      <c r="H16" s="13">
        <v>70</v>
      </c>
      <c r="I16" s="17">
        <v>10</v>
      </c>
      <c r="J16" s="9">
        <f t="shared" si="2"/>
        <v>700</v>
      </c>
      <c r="K16" s="4">
        <v>8</v>
      </c>
      <c r="L16" s="9">
        <f>K16*Admin!$C$6</f>
        <v>80</v>
      </c>
      <c r="M16" s="9">
        <f t="shared" si="3"/>
        <v>1720</v>
      </c>
      <c r="N16" s="4"/>
      <c r="O16" s="4" t="s">
        <v>285</v>
      </c>
      <c r="P16" s="4"/>
    </row>
    <row r="17" spans="2:16" ht="18" customHeight="1" x14ac:dyDescent="0.3">
      <c r="B17" s="16">
        <v>46091</v>
      </c>
      <c r="C17" s="2" t="str">
        <f t="shared" si="0"/>
        <v>الثلاثاء</v>
      </c>
      <c r="D17" s="4" t="s">
        <v>123</v>
      </c>
      <c r="E17" s="13">
        <v>97</v>
      </c>
      <c r="F17" s="17">
        <v>10</v>
      </c>
      <c r="G17" s="9">
        <f t="shared" si="1"/>
        <v>970</v>
      </c>
      <c r="H17" s="13">
        <v>72</v>
      </c>
      <c r="I17" s="17">
        <v>10</v>
      </c>
      <c r="J17" s="9">
        <f t="shared" si="2"/>
        <v>720</v>
      </c>
      <c r="K17" s="4">
        <v>8</v>
      </c>
      <c r="L17" s="9">
        <f>K17*Admin!$C$6</f>
        <v>80</v>
      </c>
      <c r="M17" s="9">
        <f t="shared" si="3"/>
        <v>1770</v>
      </c>
      <c r="N17" s="4"/>
      <c r="O17" s="4" t="s">
        <v>285</v>
      </c>
      <c r="P17" s="4"/>
    </row>
    <row r="18" spans="2:16" ht="18" customHeight="1" x14ac:dyDescent="0.3">
      <c r="B18" s="16">
        <v>46092</v>
      </c>
      <c r="C18" s="2" t="str">
        <f t="shared" si="0"/>
        <v>الأربعاء</v>
      </c>
      <c r="D18" s="4" t="s">
        <v>123</v>
      </c>
      <c r="E18" s="13">
        <v>85</v>
      </c>
      <c r="F18" s="17">
        <v>10</v>
      </c>
      <c r="G18" s="9">
        <f t="shared" si="1"/>
        <v>850</v>
      </c>
      <c r="H18" s="13">
        <v>74</v>
      </c>
      <c r="I18" s="17">
        <v>10</v>
      </c>
      <c r="J18" s="9">
        <f t="shared" si="2"/>
        <v>740</v>
      </c>
      <c r="K18" s="4">
        <v>8</v>
      </c>
      <c r="L18" s="9">
        <f>K18*Admin!$C$6</f>
        <v>80</v>
      </c>
      <c r="M18" s="9">
        <f t="shared" si="3"/>
        <v>1670</v>
      </c>
      <c r="N18" s="4"/>
      <c r="O18" s="4" t="s">
        <v>285</v>
      </c>
      <c r="P18" s="4"/>
    </row>
    <row r="19" spans="2:16" ht="18" customHeight="1" x14ac:dyDescent="0.3">
      <c r="B19" s="16">
        <v>46093</v>
      </c>
      <c r="C19" s="2" t="str">
        <f t="shared" si="0"/>
        <v>الخميس</v>
      </c>
      <c r="D19" s="4" t="s">
        <v>123</v>
      </c>
      <c r="E19" s="13">
        <v>88</v>
      </c>
      <c r="F19" s="17">
        <v>10</v>
      </c>
      <c r="G19" s="9">
        <f t="shared" si="1"/>
        <v>880</v>
      </c>
      <c r="H19" s="13">
        <v>76</v>
      </c>
      <c r="I19" s="17">
        <v>10</v>
      </c>
      <c r="J19" s="9">
        <f t="shared" si="2"/>
        <v>760</v>
      </c>
      <c r="K19" s="4">
        <v>8</v>
      </c>
      <c r="L19" s="9">
        <f>K19*Admin!$C$6</f>
        <v>80</v>
      </c>
      <c r="M19" s="9">
        <f t="shared" si="3"/>
        <v>1720</v>
      </c>
      <c r="N19" s="4"/>
      <c r="O19" s="4" t="s">
        <v>285</v>
      </c>
      <c r="P19" s="4"/>
    </row>
    <row r="20" spans="2:16" ht="18" customHeight="1" x14ac:dyDescent="0.3">
      <c r="B20" s="16">
        <v>46094</v>
      </c>
      <c r="C20" s="2" t="str">
        <f t="shared" si="0"/>
        <v>الجمعة</v>
      </c>
      <c r="D20" s="4" t="s">
        <v>123</v>
      </c>
      <c r="E20" s="13">
        <v>91</v>
      </c>
      <c r="F20" s="17">
        <v>10</v>
      </c>
      <c r="G20" s="9">
        <f t="shared" si="1"/>
        <v>910</v>
      </c>
      <c r="H20" s="13">
        <v>70</v>
      </c>
      <c r="I20" s="17">
        <v>10</v>
      </c>
      <c r="J20" s="9">
        <f t="shared" si="2"/>
        <v>700</v>
      </c>
      <c r="K20" s="4">
        <v>8</v>
      </c>
      <c r="L20" s="9">
        <f>K20*Admin!$C$6</f>
        <v>80</v>
      </c>
      <c r="M20" s="9">
        <f t="shared" si="3"/>
        <v>1690</v>
      </c>
      <c r="N20" s="4"/>
      <c r="O20" s="4" t="s">
        <v>285</v>
      </c>
      <c r="P20" s="4"/>
    </row>
    <row r="21" spans="2:16" ht="18" customHeight="1" x14ac:dyDescent="0.3">
      <c r="B21" s="16">
        <v>46095</v>
      </c>
      <c r="C21" s="2" t="str">
        <f t="shared" si="0"/>
        <v>السبت</v>
      </c>
      <c r="D21" s="4" t="s">
        <v>123</v>
      </c>
      <c r="E21" s="13">
        <v>94</v>
      </c>
      <c r="F21" s="17">
        <v>10</v>
      </c>
      <c r="G21" s="9">
        <f t="shared" si="1"/>
        <v>940</v>
      </c>
      <c r="H21" s="13">
        <v>72</v>
      </c>
      <c r="I21" s="17">
        <v>10</v>
      </c>
      <c r="J21" s="9">
        <f t="shared" si="2"/>
        <v>720</v>
      </c>
      <c r="K21" s="4">
        <v>8</v>
      </c>
      <c r="L21" s="9">
        <f>K21*Admin!$C$6</f>
        <v>80</v>
      </c>
      <c r="M21" s="9">
        <f t="shared" si="3"/>
        <v>1740</v>
      </c>
      <c r="N21" s="4"/>
      <c r="O21" s="4" t="s">
        <v>285</v>
      </c>
      <c r="P21" s="4"/>
    </row>
    <row r="22" spans="2:16" ht="14.4" x14ac:dyDescent="0.3">
      <c r="B22" s="16"/>
      <c r="C22" s="2" t="str">
        <f t="shared" ref="C22:C53" si="4">IF(B22="","",TEXT(B22,"DDD"))</f>
        <v/>
      </c>
      <c r="D22" s="4"/>
      <c r="E22" s="4"/>
      <c r="F22" s="4"/>
      <c r="G22" s="9" t="str">
        <f>IF(E22="","",E22*IF(F22="",Admin!$C$6,F22))</f>
        <v/>
      </c>
      <c r="H22" s="4"/>
      <c r="I22" s="4"/>
      <c r="J22" s="9" t="str">
        <f>IF(H22="","",H22*IF(I22="",Admin!$C$6,I22))</f>
        <v/>
      </c>
      <c r="K22" s="4"/>
      <c r="L22" s="9" t="str">
        <f>IF(K22="","",K22*Admin!$C$6)</f>
        <v/>
      </c>
      <c r="M22" s="9" t="str">
        <f t="shared" ref="M22:M53" si="5">IF(AND(G22="",J22="",L22=""),"",N(G22)+N(J22)+N(L22))</f>
        <v/>
      </c>
      <c r="N22" s="4"/>
      <c r="O22" s="4"/>
      <c r="P22" s="4"/>
    </row>
    <row r="23" spans="2:16" ht="14.4" x14ac:dyDescent="0.3">
      <c r="B23" s="16"/>
      <c r="C23" s="2" t="str">
        <f t="shared" si="4"/>
        <v/>
      </c>
      <c r="D23" s="4"/>
      <c r="E23" s="4"/>
      <c r="F23" s="4"/>
      <c r="G23" s="9" t="str">
        <f>IF(E23="","",E23*IF(F23="",Admin!$C$6,F23))</f>
        <v/>
      </c>
      <c r="H23" s="4"/>
      <c r="I23" s="4"/>
      <c r="J23" s="9" t="str">
        <f>IF(H23="","",H23*IF(I23="",Admin!$C$6,I23))</f>
        <v/>
      </c>
      <c r="K23" s="4"/>
      <c r="L23" s="9" t="str">
        <f>IF(K23="","",K23*Admin!$C$6)</f>
        <v/>
      </c>
      <c r="M23" s="9" t="str">
        <f t="shared" si="5"/>
        <v/>
      </c>
      <c r="N23" s="4"/>
      <c r="O23" s="4"/>
      <c r="P23" s="4"/>
    </row>
    <row r="24" spans="2:16" ht="14.4" x14ac:dyDescent="0.3">
      <c r="B24" s="16"/>
      <c r="C24" s="2" t="str">
        <f t="shared" si="4"/>
        <v/>
      </c>
      <c r="D24" s="4"/>
      <c r="E24" s="4"/>
      <c r="F24" s="4"/>
      <c r="G24" s="9" t="str">
        <f>IF(E24="","",E24*IF(F24="",Admin!$C$6,F24))</f>
        <v/>
      </c>
      <c r="H24" s="4"/>
      <c r="I24" s="4"/>
      <c r="J24" s="9" t="str">
        <f>IF(H24="","",H24*IF(I24="",Admin!$C$6,I24))</f>
        <v/>
      </c>
      <c r="K24" s="4"/>
      <c r="L24" s="9" t="str">
        <f>IF(K24="","",K24*Admin!$C$6)</f>
        <v/>
      </c>
      <c r="M24" s="9" t="str">
        <f t="shared" si="5"/>
        <v/>
      </c>
      <c r="N24" s="4"/>
      <c r="O24" s="4"/>
      <c r="P24" s="4"/>
    </row>
    <row r="25" spans="2:16" ht="14.4" x14ac:dyDescent="0.3">
      <c r="B25" s="16"/>
      <c r="C25" s="2" t="str">
        <f t="shared" si="4"/>
        <v/>
      </c>
      <c r="D25" s="4"/>
      <c r="E25" s="4"/>
      <c r="F25" s="4"/>
      <c r="G25" s="9" t="str">
        <f>IF(E25="","",E25*IF(F25="",Admin!$C$6,F25))</f>
        <v/>
      </c>
      <c r="H25" s="4"/>
      <c r="I25" s="4"/>
      <c r="J25" s="9" t="str">
        <f>IF(H25="","",H25*IF(I25="",Admin!$C$6,I25))</f>
        <v/>
      </c>
      <c r="K25" s="4"/>
      <c r="L25" s="9" t="str">
        <f>IF(K25="","",K25*Admin!$C$6)</f>
        <v/>
      </c>
      <c r="M25" s="9" t="str">
        <f t="shared" si="5"/>
        <v/>
      </c>
      <c r="N25" s="4"/>
      <c r="O25" s="4"/>
      <c r="P25" s="4"/>
    </row>
    <row r="26" spans="2:16" ht="14.4" x14ac:dyDescent="0.3">
      <c r="B26" s="16"/>
      <c r="C26" s="2" t="str">
        <f t="shared" si="4"/>
        <v/>
      </c>
      <c r="D26" s="4"/>
      <c r="E26" s="4"/>
      <c r="F26" s="4"/>
      <c r="G26" s="9" t="str">
        <f>IF(E26="","",E26*IF(F26="",Admin!$C$6,F26))</f>
        <v/>
      </c>
      <c r="H26" s="4"/>
      <c r="I26" s="4"/>
      <c r="J26" s="9" t="str">
        <f>IF(H26="","",H26*IF(I26="",Admin!$C$6,I26))</f>
        <v/>
      </c>
      <c r="K26" s="4"/>
      <c r="L26" s="9" t="str">
        <f>IF(K26="","",K26*Admin!$C$6)</f>
        <v/>
      </c>
      <c r="M26" s="9" t="str">
        <f t="shared" si="5"/>
        <v/>
      </c>
      <c r="N26" s="4"/>
      <c r="O26" s="4"/>
      <c r="P26" s="4"/>
    </row>
    <row r="27" spans="2:16" ht="14.4" x14ac:dyDescent="0.3">
      <c r="B27" s="16"/>
      <c r="C27" s="2" t="str">
        <f t="shared" si="4"/>
        <v/>
      </c>
      <c r="D27" s="4"/>
      <c r="E27" s="4"/>
      <c r="F27" s="4"/>
      <c r="G27" s="9" t="str">
        <f>IF(E27="","",E27*IF(F27="",Admin!$C$6,F27))</f>
        <v/>
      </c>
      <c r="H27" s="4"/>
      <c r="I27" s="4"/>
      <c r="J27" s="9" t="str">
        <f>IF(H27="","",H27*IF(I27="",Admin!$C$6,I27))</f>
        <v/>
      </c>
      <c r="K27" s="4"/>
      <c r="L27" s="9" t="str">
        <f>IF(K27="","",K27*Admin!$C$6)</f>
        <v/>
      </c>
      <c r="M27" s="9" t="str">
        <f t="shared" si="5"/>
        <v/>
      </c>
      <c r="N27" s="4"/>
      <c r="O27" s="4"/>
      <c r="P27" s="4"/>
    </row>
    <row r="28" spans="2:16" ht="14.4" x14ac:dyDescent="0.3">
      <c r="B28" s="16"/>
      <c r="C28" s="2" t="str">
        <f t="shared" si="4"/>
        <v/>
      </c>
      <c r="D28" s="4"/>
      <c r="E28" s="4"/>
      <c r="F28" s="4"/>
      <c r="G28" s="9" t="str">
        <f>IF(E28="","",E28*IF(F28="",Admin!$C$6,F28))</f>
        <v/>
      </c>
      <c r="H28" s="4"/>
      <c r="I28" s="4"/>
      <c r="J28" s="9" t="str">
        <f>IF(H28="","",H28*IF(I28="",Admin!$C$6,I28))</f>
        <v/>
      </c>
      <c r="K28" s="4"/>
      <c r="L28" s="9" t="str">
        <f>IF(K28="","",K28*Admin!$C$6)</f>
        <v/>
      </c>
      <c r="M28" s="9" t="str">
        <f t="shared" si="5"/>
        <v/>
      </c>
      <c r="N28" s="4"/>
      <c r="O28" s="4"/>
      <c r="P28" s="4"/>
    </row>
    <row r="29" spans="2:16" ht="14.4" x14ac:dyDescent="0.3">
      <c r="B29" s="16"/>
      <c r="C29" s="2" t="str">
        <f t="shared" si="4"/>
        <v/>
      </c>
      <c r="D29" s="4"/>
      <c r="E29" s="4"/>
      <c r="F29" s="4"/>
      <c r="G29" s="9" t="str">
        <f>IF(E29="","",E29*IF(F29="",Admin!$C$6,F29))</f>
        <v/>
      </c>
      <c r="H29" s="4"/>
      <c r="I29" s="4"/>
      <c r="J29" s="9" t="str">
        <f>IF(H29="","",H29*IF(I29="",Admin!$C$6,I29))</f>
        <v/>
      </c>
      <c r="K29" s="4"/>
      <c r="L29" s="9" t="str">
        <f>IF(K29="","",K29*Admin!$C$6)</f>
        <v/>
      </c>
      <c r="M29" s="9" t="str">
        <f t="shared" si="5"/>
        <v/>
      </c>
      <c r="N29" s="4"/>
      <c r="O29" s="4"/>
      <c r="P29" s="4"/>
    </row>
    <row r="30" spans="2:16" ht="14.4" x14ac:dyDescent="0.3">
      <c r="B30" s="16"/>
      <c r="C30" s="2" t="str">
        <f t="shared" si="4"/>
        <v/>
      </c>
      <c r="D30" s="4"/>
      <c r="E30" s="4"/>
      <c r="F30" s="4"/>
      <c r="G30" s="9" t="str">
        <f>IF(E30="","",E30*IF(F30="",Admin!$C$6,F30))</f>
        <v/>
      </c>
      <c r="H30" s="4"/>
      <c r="I30" s="4"/>
      <c r="J30" s="9" t="str">
        <f>IF(H30="","",H30*IF(I30="",Admin!$C$6,I30))</f>
        <v/>
      </c>
      <c r="K30" s="4"/>
      <c r="L30" s="9" t="str">
        <f>IF(K30="","",K30*Admin!$C$6)</f>
        <v/>
      </c>
      <c r="M30" s="9" t="str">
        <f t="shared" si="5"/>
        <v/>
      </c>
      <c r="N30" s="4"/>
      <c r="O30" s="4"/>
      <c r="P30" s="4"/>
    </row>
    <row r="31" spans="2:16" ht="14.4" x14ac:dyDescent="0.3">
      <c r="B31" s="16"/>
      <c r="C31" s="2" t="str">
        <f t="shared" si="4"/>
        <v/>
      </c>
      <c r="D31" s="4"/>
      <c r="E31" s="4"/>
      <c r="F31" s="4"/>
      <c r="G31" s="9" t="str">
        <f>IF(E31="","",E31*IF(F31="",Admin!$C$6,F31))</f>
        <v/>
      </c>
      <c r="H31" s="4"/>
      <c r="I31" s="4"/>
      <c r="J31" s="9" t="str">
        <f>IF(H31="","",H31*IF(I31="",Admin!$C$6,I31))</f>
        <v/>
      </c>
      <c r="K31" s="4"/>
      <c r="L31" s="9" t="str">
        <f>IF(K31="","",K31*Admin!$C$6)</f>
        <v/>
      </c>
      <c r="M31" s="9" t="str">
        <f t="shared" si="5"/>
        <v/>
      </c>
      <c r="N31" s="4"/>
      <c r="O31" s="4"/>
      <c r="P31" s="4"/>
    </row>
    <row r="32" spans="2:16" ht="14.4" x14ac:dyDescent="0.3">
      <c r="B32" s="16"/>
      <c r="C32" s="2" t="str">
        <f t="shared" si="4"/>
        <v/>
      </c>
      <c r="D32" s="4"/>
      <c r="E32" s="4"/>
      <c r="F32" s="4"/>
      <c r="G32" s="9" t="str">
        <f>IF(E32="","",E32*IF(F32="",Admin!$C$6,F32))</f>
        <v/>
      </c>
      <c r="H32" s="4"/>
      <c r="I32" s="4"/>
      <c r="J32" s="9" t="str">
        <f>IF(H32="","",H32*IF(I32="",Admin!$C$6,I32))</f>
        <v/>
      </c>
      <c r="K32" s="4"/>
      <c r="L32" s="9" t="str">
        <f>IF(K32="","",K32*Admin!$C$6)</f>
        <v/>
      </c>
      <c r="M32" s="9" t="str">
        <f t="shared" si="5"/>
        <v/>
      </c>
      <c r="N32" s="4"/>
      <c r="O32" s="4"/>
      <c r="P32" s="4"/>
    </row>
    <row r="33" spans="2:16" ht="14.4" x14ac:dyDescent="0.3">
      <c r="B33" s="16"/>
      <c r="C33" s="2" t="str">
        <f t="shared" si="4"/>
        <v/>
      </c>
      <c r="D33" s="4"/>
      <c r="E33" s="4"/>
      <c r="F33" s="4"/>
      <c r="G33" s="9" t="str">
        <f>IF(E33="","",E33*IF(F33="",Admin!$C$6,F33))</f>
        <v/>
      </c>
      <c r="H33" s="4"/>
      <c r="I33" s="4"/>
      <c r="J33" s="9" t="str">
        <f>IF(H33="","",H33*IF(I33="",Admin!$C$6,I33))</f>
        <v/>
      </c>
      <c r="K33" s="4"/>
      <c r="L33" s="9" t="str">
        <f>IF(K33="","",K33*Admin!$C$6)</f>
        <v/>
      </c>
      <c r="M33" s="9" t="str">
        <f t="shared" si="5"/>
        <v/>
      </c>
      <c r="N33" s="4"/>
      <c r="O33" s="4"/>
      <c r="P33" s="4"/>
    </row>
    <row r="34" spans="2:16" ht="14.4" x14ac:dyDescent="0.3">
      <c r="B34" s="16"/>
      <c r="C34" s="2" t="str">
        <f t="shared" si="4"/>
        <v/>
      </c>
      <c r="D34" s="4"/>
      <c r="E34" s="4"/>
      <c r="F34" s="4"/>
      <c r="G34" s="9" t="str">
        <f>IF(E34="","",E34*IF(F34="",Admin!$C$6,F34))</f>
        <v/>
      </c>
      <c r="H34" s="4"/>
      <c r="I34" s="4"/>
      <c r="J34" s="9" t="str">
        <f>IF(H34="","",H34*IF(I34="",Admin!$C$6,I34))</f>
        <v/>
      </c>
      <c r="K34" s="4"/>
      <c r="L34" s="9" t="str">
        <f>IF(K34="","",K34*Admin!$C$6)</f>
        <v/>
      </c>
      <c r="M34" s="9" t="str">
        <f t="shared" si="5"/>
        <v/>
      </c>
      <c r="N34" s="4"/>
      <c r="O34" s="4"/>
      <c r="P34" s="4"/>
    </row>
    <row r="35" spans="2:16" ht="14.4" x14ac:dyDescent="0.3">
      <c r="B35" s="16"/>
      <c r="C35" s="2" t="str">
        <f t="shared" si="4"/>
        <v/>
      </c>
      <c r="D35" s="4"/>
      <c r="E35" s="4"/>
      <c r="F35" s="4"/>
      <c r="G35" s="9" t="str">
        <f>IF(E35="","",E35*IF(F35="",Admin!$C$6,F35))</f>
        <v/>
      </c>
      <c r="H35" s="4"/>
      <c r="I35" s="4"/>
      <c r="J35" s="9" t="str">
        <f>IF(H35="","",H35*IF(I35="",Admin!$C$6,I35))</f>
        <v/>
      </c>
      <c r="K35" s="4"/>
      <c r="L35" s="9" t="str">
        <f>IF(K35="","",K35*Admin!$C$6)</f>
        <v/>
      </c>
      <c r="M35" s="9" t="str">
        <f t="shared" si="5"/>
        <v/>
      </c>
      <c r="N35" s="4"/>
      <c r="O35" s="4"/>
      <c r="P35" s="4"/>
    </row>
    <row r="36" spans="2:16" ht="14.4" x14ac:dyDescent="0.3">
      <c r="B36" s="16"/>
      <c r="C36" s="2" t="str">
        <f t="shared" si="4"/>
        <v/>
      </c>
      <c r="D36" s="4"/>
      <c r="E36" s="4"/>
      <c r="F36" s="4"/>
      <c r="G36" s="9" t="str">
        <f>IF(E36="","",E36*IF(F36="",Admin!$C$6,F36))</f>
        <v/>
      </c>
      <c r="H36" s="4"/>
      <c r="I36" s="4"/>
      <c r="J36" s="9" t="str">
        <f>IF(H36="","",H36*IF(I36="",Admin!$C$6,I36))</f>
        <v/>
      </c>
      <c r="K36" s="4"/>
      <c r="L36" s="9" t="str">
        <f>IF(K36="","",K36*Admin!$C$6)</f>
        <v/>
      </c>
      <c r="M36" s="9" t="str">
        <f t="shared" si="5"/>
        <v/>
      </c>
      <c r="N36" s="4"/>
      <c r="O36" s="4"/>
      <c r="P36" s="4"/>
    </row>
    <row r="37" spans="2:16" ht="14.4" x14ac:dyDescent="0.3">
      <c r="B37" s="16"/>
      <c r="C37" s="2" t="str">
        <f t="shared" si="4"/>
        <v/>
      </c>
      <c r="D37" s="4"/>
      <c r="E37" s="4"/>
      <c r="F37" s="4"/>
      <c r="G37" s="9" t="str">
        <f>IF(E37="","",E37*IF(F37="",Admin!$C$6,F37))</f>
        <v/>
      </c>
      <c r="H37" s="4"/>
      <c r="I37" s="4"/>
      <c r="J37" s="9" t="str">
        <f>IF(H37="","",H37*IF(I37="",Admin!$C$6,I37))</f>
        <v/>
      </c>
      <c r="K37" s="4"/>
      <c r="L37" s="9" t="str">
        <f>IF(K37="","",K37*Admin!$C$6)</f>
        <v/>
      </c>
      <c r="M37" s="9" t="str">
        <f t="shared" si="5"/>
        <v/>
      </c>
      <c r="N37" s="4"/>
      <c r="O37" s="4"/>
      <c r="P37" s="4"/>
    </row>
    <row r="38" spans="2:16" ht="14.4" x14ac:dyDescent="0.3">
      <c r="B38" s="16"/>
      <c r="C38" s="2" t="str">
        <f t="shared" si="4"/>
        <v/>
      </c>
      <c r="D38" s="4"/>
      <c r="E38" s="4"/>
      <c r="F38" s="4"/>
      <c r="G38" s="9" t="str">
        <f>IF(E38="","",E38*IF(F38="",Admin!$C$6,F38))</f>
        <v/>
      </c>
      <c r="H38" s="4"/>
      <c r="I38" s="4"/>
      <c r="J38" s="9" t="str">
        <f>IF(H38="","",H38*IF(I38="",Admin!$C$6,I38))</f>
        <v/>
      </c>
      <c r="K38" s="4"/>
      <c r="L38" s="9" t="str">
        <f>IF(K38="","",K38*Admin!$C$6)</f>
        <v/>
      </c>
      <c r="M38" s="9" t="str">
        <f t="shared" si="5"/>
        <v/>
      </c>
      <c r="N38" s="4"/>
      <c r="O38" s="4"/>
      <c r="P38" s="4"/>
    </row>
    <row r="39" spans="2:16" ht="14.4" x14ac:dyDescent="0.3">
      <c r="B39" s="16"/>
      <c r="C39" s="2" t="str">
        <f t="shared" si="4"/>
        <v/>
      </c>
      <c r="D39" s="4"/>
      <c r="E39" s="4"/>
      <c r="F39" s="4"/>
      <c r="G39" s="9" t="str">
        <f>IF(E39="","",E39*IF(F39="",Admin!$C$6,F39))</f>
        <v/>
      </c>
      <c r="H39" s="4"/>
      <c r="I39" s="4"/>
      <c r="J39" s="9" t="str">
        <f>IF(H39="","",H39*IF(I39="",Admin!$C$6,I39))</f>
        <v/>
      </c>
      <c r="K39" s="4"/>
      <c r="L39" s="9" t="str">
        <f>IF(K39="","",K39*Admin!$C$6)</f>
        <v/>
      </c>
      <c r="M39" s="9" t="str">
        <f t="shared" si="5"/>
        <v/>
      </c>
      <c r="N39" s="4"/>
      <c r="O39" s="4"/>
      <c r="P39" s="4"/>
    </row>
    <row r="40" spans="2:16" ht="14.4" x14ac:dyDescent="0.3">
      <c r="B40" s="16"/>
      <c r="C40" s="2" t="str">
        <f t="shared" si="4"/>
        <v/>
      </c>
      <c r="D40" s="4"/>
      <c r="E40" s="4"/>
      <c r="F40" s="4"/>
      <c r="G40" s="9" t="str">
        <f>IF(E40="","",E40*IF(F40="",Admin!$C$6,F40))</f>
        <v/>
      </c>
      <c r="H40" s="4"/>
      <c r="I40" s="4"/>
      <c r="J40" s="9" t="str">
        <f>IF(H40="","",H40*IF(I40="",Admin!$C$6,I40))</f>
        <v/>
      </c>
      <c r="K40" s="4"/>
      <c r="L40" s="9" t="str">
        <f>IF(K40="","",K40*Admin!$C$6)</f>
        <v/>
      </c>
      <c r="M40" s="9" t="str">
        <f t="shared" si="5"/>
        <v/>
      </c>
      <c r="N40" s="4"/>
      <c r="O40" s="4"/>
      <c r="P40" s="4"/>
    </row>
    <row r="41" spans="2:16" ht="14.4" x14ac:dyDescent="0.3">
      <c r="B41" s="16"/>
      <c r="C41" s="2" t="str">
        <f t="shared" si="4"/>
        <v/>
      </c>
      <c r="D41" s="4"/>
      <c r="E41" s="4"/>
      <c r="F41" s="4"/>
      <c r="G41" s="9" t="str">
        <f>IF(E41="","",E41*IF(F41="",Admin!$C$6,F41))</f>
        <v/>
      </c>
      <c r="H41" s="4"/>
      <c r="I41" s="4"/>
      <c r="J41" s="9" t="str">
        <f>IF(H41="","",H41*IF(I41="",Admin!$C$6,I41))</f>
        <v/>
      </c>
      <c r="K41" s="4"/>
      <c r="L41" s="9" t="str">
        <f>IF(K41="","",K41*Admin!$C$6)</f>
        <v/>
      </c>
      <c r="M41" s="9" t="str">
        <f t="shared" si="5"/>
        <v/>
      </c>
      <c r="N41" s="4"/>
      <c r="O41" s="4"/>
      <c r="P41" s="4"/>
    </row>
    <row r="42" spans="2:16" ht="14.4" x14ac:dyDescent="0.3">
      <c r="B42" s="16"/>
      <c r="C42" s="2" t="str">
        <f t="shared" si="4"/>
        <v/>
      </c>
      <c r="D42" s="4"/>
      <c r="E42" s="4"/>
      <c r="F42" s="4"/>
      <c r="G42" s="9" t="str">
        <f>IF(E42="","",E42*IF(F42="",Admin!$C$6,F42))</f>
        <v/>
      </c>
      <c r="H42" s="4"/>
      <c r="I42" s="4"/>
      <c r="J42" s="9" t="str">
        <f>IF(H42="","",H42*IF(I42="",Admin!$C$6,I42))</f>
        <v/>
      </c>
      <c r="K42" s="4"/>
      <c r="L42" s="9" t="str">
        <f>IF(K42="","",K42*Admin!$C$6)</f>
        <v/>
      </c>
      <c r="M42" s="9" t="str">
        <f t="shared" si="5"/>
        <v/>
      </c>
      <c r="N42" s="4"/>
      <c r="O42" s="4"/>
      <c r="P42" s="4"/>
    </row>
    <row r="43" spans="2:16" ht="14.4" x14ac:dyDescent="0.3">
      <c r="B43" s="16"/>
      <c r="C43" s="2" t="str">
        <f t="shared" si="4"/>
        <v/>
      </c>
      <c r="D43" s="4"/>
      <c r="E43" s="4"/>
      <c r="F43" s="4"/>
      <c r="G43" s="9" t="str">
        <f>IF(E43="","",E43*IF(F43="",Admin!$C$6,F43))</f>
        <v/>
      </c>
      <c r="H43" s="4"/>
      <c r="I43" s="4"/>
      <c r="J43" s="9" t="str">
        <f>IF(H43="","",H43*IF(I43="",Admin!$C$6,I43))</f>
        <v/>
      </c>
      <c r="K43" s="4"/>
      <c r="L43" s="9" t="str">
        <f>IF(K43="","",K43*Admin!$C$6)</f>
        <v/>
      </c>
      <c r="M43" s="9" t="str">
        <f t="shared" si="5"/>
        <v/>
      </c>
      <c r="N43" s="4"/>
      <c r="O43" s="4"/>
      <c r="P43" s="4"/>
    </row>
    <row r="44" spans="2:16" ht="14.4" x14ac:dyDescent="0.3">
      <c r="B44" s="16"/>
      <c r="C44" s="2" t="str">
        <f t="shared" si="4"/>
        <v/>
      </c>
      <c r="D44" s="4"/>
      <c r="E44" s="4"/>
      <c r="F44" s="4"/>
      <c r="G44" s="9" t="str">
        <f>IF(E44="","",E44*IF(F44="",Admin!$C$6,F44))</f>
        <v/>
      </c>
      <c r="H44" s="4"/>
      <c r="I44" s="4"/>
      <c r="J44" s="9" t="str">
        <f>IF(H44="","",H44*IF(I44="",Admin!$C$6,I44))</f>
        <v/>
      </c>
      <c r="K44" s="4"/>
      <c r="L44" s="9" t="str">
        <f>IF(K44="","",K44*Admin!$C$6)</f>
        <v/>
      </c>
      <c r="M44" s="9" t="str">
        <f t="shared" si="5"/>
        <v/>
      </c>
      <c r="N44" s="4"/>
      <c r="O44" s="4"/>
      <c r="P44" s="4"/>
    </row>
    <row r="45" spans="2:16" ht="14.4" x14ac:dyDescent="0.3">
      <c r="B45" s="16"/>
      <c r="C45" s="2" t="str">
        <f t="shared" si="4"/>
        <v/>
      </c>
      <c r="D45" s="4"/>
      <c r="E45" s="4"/>
      <c r="F45" s="4"/>
      <c r="G45" s="9" t="str">
        <f>IF(E45="","",E45*IF(F45="",Admin!$C$6,F45))</f>
        <v/>
      </c>
      <c r="H45" s="4"/>
      <c r="I45" s="4"/>
      <c r="J45" s="9" t="str">
        <f>IF(H45="","",H45*IF(I45="",Admin!$C$6,I45))</f>
        <v/>
      </c>
      <c r="K45" s="4"/>
      <c r="L45" s="9" t="str">
        <f>IF(K45="","",K45*Admin!$C$6)</f>
        <v/>
      </c>
      <c r="M45" s="9" t="str">
        <f t="shared" si="5"/>
        <v/>
      </c>
      <c r="N45" s="4"/>
      <c r="O45" s="4"/>
      <c r="P45" s="4"/>
    </row>
    <row r="46" spans="2:16" ht="14.4" x14ac:dyDescent="0.3">
      <c r="B46" s="16"/>
      <c r="C46" s="2" t="str">
        <f t="shared" si="4"/>
        <v/>
      </c>
      <c r="D46" s="4"/>
      <c r="E46" s="4"/>
      <c r="F46" s="4"/>
      <c r="G46" s="9" t="str">
        <f>IF(E46="","",E46*IF(F46="",Admin!$C$6,F46))</f>
        <v/>
      </c>
      <c r="H46" s="4"/>
      <c r="I46" s="4"/>
      <c r="J46" s="9" t="str">
        <f>IF(H46="","",H46*IF(I46="",Admin!$C$6,I46))</f>
        <v/>
      </c>
      <c r="K46" s="4"/>
      <c r="L46" s="9" t="str">
        <f>IF(K46="","",K46*Admin!$C$6)</f>
        <v/>
      </c>
      <c r="M46" s="9" t="str">
        <f t="shared" si="5"/>
        <v/>
      </c>
      <c r="N46" s="4"/>
      <c r="O46" s="4"/>
      <c r="P46" s="4"/>
    </row>
    <row r="47" spans="2:16" ht="14.4" x14ac:dyDescent="0.3">
      <c r="B47" s="16"/>
      <c r="C47" s="2" t="str">
        <f t="shared" si="4"/>
        <v/>
      </c>
      <c r="D47" s="4"/>
      <c r="E47" s="4"/>
      <c r="F47" s="4"/>
      <c r="G47" s="9" t="str">
        <f>IF(E47="","",E47*IF(F47="",Admin!$C$6,F47))</f>
        <v/>
      </c>
      <c r="H47" s="4"/>
      <c r="I47" s="4"/>
      <c r="J47" s="9" t="str">
        <f>IF(H47="","",H47*IF(I47="",Admin!$C$6,I47))</f>
        <v/>
      </c>
      <c r="K47" s="4"/>
      <c r="L47" s="9" t="str">
        <f>IF(K47="","",K47*Admin!$C$6)</f>
        <v/>
      </c>
      <c r="M47" s="9" t="str">
        <f t="shared" si="5"/>
        <v/>
      </c>
      <c r="N47" s="4"/>
      <c r="O47" s="4"/>
      <c r="P47" s="4"/>
    </row>
    <row r="48" spans="2:16" ht="14.4" x14ac:dyDescent="0.3">
      <c r="B48" s="16"/>
      <c r="C48" s="2" t="str">
        <f t="shared" si="4"/>
        <v/>
      </c>
      <c r="D48" s="4"/>
      <c r="E48" s="4"/>
      <c r="F48" s="4"/>
      <c r="G48" s="9" t="str">
        <f>IF(E48="","",E48*IF(F48="",Admin!$C$6,F48))</f>
        <v/>
      </c>
      <c r="H48" s="4"/>
      <c r="I48" s="4"/>
      <c r="J48" s="9" t="str">
        <f>IF(H48="","",H48*IF(I48="",Admin!$C$6,I48))</f>
        <v/>
      </c>
      <c r="K48" s="4"/>
      <c r="L48" s="9" t="str">
        <f>IF(K48="","",K48*Admin!$C$6)</f>
        <v/>
      </c>
      <c r="M48" s="9" t="str">
        <f t="shared" si="5"/>
        <v/>
      </c>
      <c r="N48" s="4"/>
      <c r="O48" s="4"/>
      <c r="P48" s="4"/>
    </row>
    <row r="49" spans="2:16" ht="14.4" x14ac:dyDescent="0.3">
      <c r="B49" s="16"/>
      <c r="C49" s="2" t="str">
        <f t="shared" si="4"/>
        <v/>
      </c>
      <c r="D49" s="4"/>
      <c r="E49" s="4"/>
      <c r="F49" s="4"/>
      <c r="G49" s="9" t="str">
        <f>IF(E49="","",E49*IF(F49="",Admin!$C$6,F49))</f>
        <v/>
      </c>
      <c r="H49" s="4"/>
      <c r="I49" s="4"/>
      <c r="J49" s="9" t="str">
        <f>IF(H49="","",H49*IF(I49="",Admin!$C$6,I49))</f>
        <v/>
      </c>
      <c r="K49" s="4"/>
      <c r="L49" s="9" t="str">
        <f>IF(K49="","",K49*Admin!$C$6)</f>
        <v/>
      </c>
      <c r="M49" s="9" t="str">
        <f t="shared" si="5"/>
        <v/>
      </c>
      <c r="N49" s="4"/>
      <c r="O49" s="4"/>
      <c r="P49" s="4"/>
    </row>
    <row r="50" spans="2:16" ht="14.4" x14ac:dyDescent="0.3">
      <c r="B50" s="16"/>
      <c r="C50" s="2" t="str">
        <f t="shared" si="4"/>
        <v/>
      </c>
      <c r="D50" s="4"/>
      <c r="E50" s="4"/>
      <c r="F50" s="4"/>
      <c r="G50" s="9" t="str">
        <f>IF(E50="","",E50*IF(F50="",Admin!$C$6,F50))</f>
        <v/>
      </c>
      <c r="H50" s="4"/>
      <c r="I50" s="4"/>
      <c r="J50" s="9" t="str">
        <f>IF(H50="","",H50*IF(I50="",Admin!$C$6,I50))</f>
        <v/>
      </c>
      <c r="K50" s="4"/>
      <c r="L50" s="9" t="str">
        <f>IF(K50="","",K50*Admin!$C$6)</f>
        <v/>
      </c>
      <c r="M50" s="9" t="str">
        <f t="shared" si="5"/>
        <v/>
      </c>
      <c r="N50" s="4"/>
      <c r="O50" s="4"/>
      <c r="P50" s="4"/>
    </row>
    <row r="51" spans="2:16" ht="14.4" x14ac:dyDescent="0.3">
      <c r="B51" s="16"/>
      <c r="C51" s="2" t="str">
        <f t="shared" si="4"/>
        <v/>
      </c>
      <c r="D51" s="4"/>
      <c r="E51" s="4"/>
      <c r="F51" s="4"/>
      <c r="G51" s="9" t="str">
        <f>IF(E51="","",E51*IF(F51="",Admin!$C$6,F51))</f>
        <v/>
      </c>
      <c r="H51" s="4"/>
      <c r="I51" s="4"/>
      <c r="J51" s="9" t="str">
        <f>IF(H51="","",H51*IF(I51="",Admin!$C$6,I51))</f>
        <v/>
      </c>
      <c r="K51" s="4"/>
      <c r="L51" s="9" t="str">
        <f>IF(K51="","",K51*Admin!$C$6)</f>
        <v/>
      </c>
      <c r="M51" s="9" t="str">
        <f t="shared" si="5"/>
        <v/>
      </c>
      <c r="N51" s="4"/>
      <c r="O51" s="4"/>
      <c r="P51" s="4"/>
    </row>
    <row r="52" spans="2:16" ht="14.4" x14ac:dyDescent="0.3">
      <c r="B52" s="16"/>
      <c r="C52" s="2" t="str">
        <f t="shared" si="4"/>
        <v/>
      </c>
      <c r="D52" s="4"/>
      <c r="E52" s="4"/>
      <c r="F52" s="4"/>
      <c r="G52" s="9" t="str">
        <f>IF(E52="","",E52*IF(F52="",Admin!$C$6,F52))</f>
        <v/>
      </c>
      <c r="H52" s="4"/>
      <c r="I52" s="4"/>
      <c r="J52" s="9" t="str">
        <f>IF(H52="","",H52*IF(I52="",Admin!$C$6,I52))</f>
        <v/>
      </c>
      <c r="K52" s="4"/>
      <c r="L52" s="9" t="str">
        <f>IF(K52="","",K52*Admin!$C$6)</f>
        <v/>
      </c>
      <c r="M52" s="9" t="str">
        <f t="shared" si="5"/>
        <v/>
      </c>
      <c r="N52" s="4"/>
      <c r="O52" s="4"/>
      <c r="P52" s="4"/>
    </row>
    <row r="53" spans="2:16" ht="14.4" x14ac:dyDescent="0.3">
      <c r="B53" s="16"/>
      <c r="C53" s="2" t="str">
        <f t="shared" si="4"/>
        <v/>
      </c>
      <c r="D53" s="4"/>
      <c r="E53" s="4"/>
      <c r="F53" s="4"/>
      <c r="G53" s="9" t="str">
        <f>IF(E53="","",E53*IF(F53="",Admin!$C$6,F53))</f>
        <v/>
      </c>
      <c r="H53" s="4"/>
      <c r="I53" s="4"/>
      <c r="J53" s="9" t="str">
        <f>IF(H53="","",H53*IF(I53="",Admin!$C$6,I53))</f>
        <v/>
      </c>
      <c r="K53" s="4"/>
      <c r="L53" s="9" t="str">
        <f>IF(K53="","",K53*Admin!$C$6)</f>
        <v/>
      </c>
      <c r="M53" s="9" t="str">
        <f t="shared" si="5"/>
        <v/>
      </c>
      <c r="N53" s="4"/>
      <c r="O53" s="4"/>
      <c r="P53" s="4"/>
    </row>
    <row r="54" spans="2:16" ht="14.4" x14ac:dyDescent="0.3">
      <c r="B54" s="16"/>
      <c r="C54" s="2" t="str">
        <f t="shared" ref="C54:C80" si="6">IF(B54="","",TEXT(B54,"DDD"))</f>
        <v/>
      </c>
      <c r="D54" s="4"/>
      <c r="E54" s="4"/>
      <c r="F54" s="4"/>
      <c r="G54" s="9" t="str">
        <f>IF(E54="","",E54*IF(F54="",Admin!$C$6,F54))</f>
        <v/>
      </c>
      <c r="H54" s="4"/>
      <c r="I54" s="4"/>
      <c r="J54" s="9" t="str">
        <f>IF(H54="","",H54*IF(I54="",Admin!$C$6,I54))</f>
        <v/>
      </c>
      <c r="K54" s="4"/>
      <c r="L54" s="9" t="str">
        <f>IF(K54="","",K54*Admin!$C$6)</f>
        <v/>
      </c>
      <c r="M54" s="9" t="str">
        <f t="shared" ref="M54:M80" si="7">IF(AND(G54="",J54="",L54=""),"",N(G54)+N(J54)+N(L54))</f>
        <v/>
      </c>
      <c r="N54" s="4"/>
      <c r="O54" s="4"/>
      <c r="P54" s="4"/>
    </row>
    <row r="55" spans="2:16" ht="14.4" x14ac:dyDescent="0.3">
      <c r="B55" s="16"/>
      <c r="C55" s="2" t="str">
        <f t="shared" si="6"/>
        <v/>
      </c>
      <c r="D55" s="4"/>
      <c r="E55" s="4"/>
      <c r="F55" s="4"/>
      <c r="G55" s="9" t="str">
        <f>IF(E55="","",E55*IF(F55="",Admin!$C$6,F55))</f>
        <v/>
      </c>
      <c r="H55" s="4"/>
      <c r="I55" s="4"/>
      <c r="J55" s="9" t="str">
        <f>IF(H55="","",H55*IF(I55="",Admin!$C$6,I55))</f>
        <v/>
      </c>
      <c r="K55" s="4"/>
      <c r="L55" s="9" t="str">
        <f>IF(K55="","",K55*Admin!$C$6)</f>
        <v/>
      </c>
      <c r="M55" s="9" t="str">
        <f t="shared" si="7"/>
        <v/>
      </c>
      <c r="N55" s="4"/>
      <c r="O55" s="4"/>
      <c r="P55" s="4"/>
    </row>
    <row r="56" spans="2:16" ht="14.4" x14ac:dyDescent="0.3">
      <c r="B56" s="16"/>
      <c r="C56" s="2" t="str">
        <f t="shared" si="6"/>
        <v/>
      </c>
      <c r="D56" s="4"/>
      <c r="E56" s="4"/>
      <c r="F56" s="4"/>
      <c r="G56" s="9" t="str">
        <f>IF(E56="","",E56*IF(F56="",Admin!$C$6,F56))</f>
        <v/>
      </c>
      <c r="H56" s="4"/>
      <c r="I56" s="4"/>
      <c r="J56" s="9" t="str">
        <f>IF(H56="","",H56*IF(I56="",Admin!$C$6,I56))</f>
        <v/>
      </c>
      <c r="K56" s="4"/>
      <c r="L56" s="9" t="str">
        <f>IF(K56="","",K56*Admin!$C$6)</f>
        <v/>
      </c>
      <c r="M56" s="9" t="str">
        <f t="shared" si="7"/>
        <v/>
      </c>
      <c r="N56" s="4"/>
      <c r="O56" s="4"/>
      <c r="P56" s="4"/>
    </row>
    <row r="57" spans="2:16" ht="14.4" x14ac:dyDescent="0.3">
      <c r="B57" s="16"/>
      <c r="C57" s="2" t="str">
        <f t="shared" si="6"/>
        <v/>
      </c>
      <c r="D57" s="4"/>
      <c r="E57" s="4"/>
      <c r="F57" s="4"/>
      <c r="G57" s="9" t="str">
        <f>IF(E57="","",E57*IF(F57="",Admin!$C$6,F57))</f>
        <v/>
      </c>
      <c r="H57" s="4"/>
      <c r="I57" s="4"/>
      <c r="J57" s="9" t="str">
        <f>IF(H57="","",H57*IF(I57="",Admin!$C$6,I57))</f>
        <v/>
      </c>
      <c r="K57" s="4"/>
      <c r="L57" s="9" t="str">
        <f>IF(K57="","",K57*Admin!$C$6)</f>
        <v/>
      </c>
      <c r="M57" s="9" t="str">
        <f t="shared" si="7"/>
        <v/>
      </c>
      <c r="N57" s="4"/>
      <c r="O57" s="4"/>
      <c r="P57" s="4"/>
    </row>
    <row r="58" spans="2:16" ht="14.4" x14ac:dyDescent="0.3">
      <c r="B58" s="16"/>
      <c r="C58" s="2" t="str">
        <f t="shared" si="6"/>
        <v/>
      </c>
      <c r="D58" s="4"/>
      <c r="E58" s="4"/>
      <c r="F58" s="4"/>
      <c r="G58" s="9" t="str">
        <f>IF(E58="","",E58*IF(F58="",Admin!$C$6,F58))</f>
        <v/>
      </c>
      <c r="H58" s="4"/>
      <c r="I58" s="4"/>
      <c r="J58" s="9" t="str">
        <f>IF(H58="","",H58*IF(I58="",Admin!$C$6,I58))</f>
        <v/>
      </c>
      <c r="K58" s="4"/>
      <c r="L58" s="9" t="str">
        <f>IF(K58="","",K58*Admin!$C$6)</f>
        <v/>
      </c>
      <c r="M58" s="9" t="str">
        <f t="shared" si="7"/>
        <v/>
      </c>
      <c r="N58" s="4"/>
      <c r="O58" s="4"/>
      <c r="P58" s="4"/>
    </row>
    <row r="59" spans="2:16" ht="14.4" x14ac:dyDescent="0.3">
      <c r="B59" s="16"/>
      <c r="C59" s="2" t="str">
        <f t="shared" si="6"/>
        <v/>
      </c>
      <c r="D59" s="4"/>
      <c r="E59" s="4"/>
      <c r="F59" s="4"/>
      <c r="G59" s="9" t="str">
        <f>IF(E59="","",E59*IF(F59="",Admin!$C$6,F59))</f>
        <v/>
      </c>
      <c r="H59" s="4"/>
      <c r="I59" s="4"/>
      <c r="J59" s="9" t="str">
        <f>IF(H59="","",H59*IF(I59="",Admin!$C$6,I59))</f>
        <v/>
      </c>
      <c r="K59" s="4"/>
      <c r="L59" s="9" t="str">
        <f>IF(K59="","",K59*Admin!$C$6)</f>
        <v/>
      </c>
      <c r="M59" s="9" t="str">
        <f t="shared" si="7"/>
        <v/>
      </c>
      <c r="N59" s="4"/>
      <c r="O59" s="4"/>
      <c r="P59" s="4"/>
    </row>
    <row r="60" spans="2:16" ht="14.4" x14ac:dyDescent="0.3">
      <c r="B60" s="16"/>
      <c r="C60" s="2" t="str">
        <f t="shared" si="6"/>
        <v/>
      </c>
      <c r="D60" s="4"/>
      <c r="E60" s="4"/>
      <c r="F60" s="4"/>
      <c r="G60" s="9" t="str">
        <f>IF(E60="","",E60*IF(F60="",Admin!$C$6,F60))</f>
        <v/>
      </c>
      <c r="H60" s="4"/>
      <c r="I60" s="4"/>
      <c r="J60" s="9" t="str">
        <f>IF(H60="","",H60*IF(I60="",Admin!$C$6,I60))</f>
        <v/>
      </c>
      <c r="K60" s="4"/>
      <c r="L60" s="9" t="str">
        <f>IF(K60="","",K60*Admin!$C$6)</f>
        <v/>
      </c>
      <c r="M60" s="9" t="str">
        <f t="shared" si="7"/>
        <v/>
      </c>
      <c r="N60" s="4"/>
      <c r="O60" s="4"/>
      <c r="P60" s="4"/>
    </row>
    <row r="61" spans="2:16" ht="14.4" x14ac:dyDescent="0.3">
      <c r="B61" s="16"/>
      <c r="C61" s="2" t="str">
        <f t="shared" si="6"/>
        <v/>
      </c>
      <c r="D61" s="4"/>
      <c r="E61" s="4"/>
      <c r="F61" s="4"/>
      <c r="G61" s="9" t="str">
        <f>IF(E61="","",E61*IF(F61="",Admin!$C$6,F61))</f>
        <v/>
      </c>
      <c r="H61" s="4"/>
      <c r="I61" s="4"/>
      <c r="J61" s="9" t="str">
        <f>IF(H61="","",H61*IF(I61="",Admin!$C$6,I61))</f>
        <v/>
      </c>
      <c r="K61" s="4"/>
      <c r="L61" s="9" t="str">
        <f>IF(K61="","",K61*Admin!$C$6)</f>
        <v/>
      </c>
      <c r="M61" s="9" t="str">
        <f t="shared" si="7"/>
        <v/>
      </c>
      <c r="N61" s="4"/>
      <c r="O61" s="4"/>
      <c r="P61" s="4"/>
    </row>
    <row r="62" spans="2:16" ht="14.4" x14ac:dyDescent="0.3">
      <c r="B62" s="16"/>
      <c r="C62" s="2" t="str">
        <f t="shared" si="6"/>
        <v/>
      </c>
      <c r="D62" s="4"/>
      <c r="E62" s="4"/>
      <c r="F62" s="4"/>
      <c r="G62" s="9" t="str">
        <f>IF(E62="","",E62*IF(F62="",Admin!$C$6,F62))</f>
        <v/>
      </c>
      <c r="H62" s="4"/>
      <c r="I62" s="4"/>
      <c r="J62" s="9" t="str">
        <f>IF(H62="","",H62*IF(I62="",Admin!$C$6,I62))</f>
        <v/>
      </c>
      <c r="K62" s="4"/>
      <c r="L62" s="9" t="str">
        <f>IF(K62="","",K62*Admin!$C$6)</f>
        <v/>
      </c>
      <c r="M62" s="9" t="str">
        <f t="shared" si="7"/>
        <v/>
      </c>
      <c r="N62" s="4"/>
      <c r="O62" s="4"/>
      <c r="P62" s="4"/>
    </row>
    <row r="63" spans="2:16" ht="14.4" x14ac:dyDescent="0.3">
      <c r="B63" s="16"/>
      <c r="C63" s="2" t="str">
        <f t="shared" si="6"/>
        <v/>
      </c>
      <c r="D63" s="4"/>
      <c r="E63" s="4"/>
      <c r="F63" s="4"/>
      <c r="G63" s="9" t="str">
        <f>IF(E63="","",E63*IF(F63="",Admin!$C$6,F63))</f>
        <v/>
      </c>
      <c r="H63" s="4"/>
      <c r="I63" s="4"/>
      <c r="J63" s="9" t="str">
        <f>IF(H63="","",H63*IF(I63="",Admin!$C$6,I63))</f>
        <v/>
      </c>
      <c r="K63" s="4"/>
      <c r="L63" s="9" t="str">
        <f>IF(K63="","",K63*Admin!$C$6)</f>
        <v/>
      </c>
      <c r="M63" s="9" t="str">
        <f t="shared" si="7"/>
        <v/>
      </c>
      <c r="N63" s="4"/>
      <c r="O63" s="4"/>
      <c r="P63" s="4"/>
    </row>
    <row r="64" spans="2:16" ht="14.4" x14ac:dyDescent="0.3">
      <c r="B64" s="16"/>
      <c r="C64" s="2" t="str">
        <f t="shared" si="6"/>
        <v/>
      </c>
      <c r="D64" s="4"/>
      <c r="E64" s="4"/>
      <c r="F64" s="4"/>
      <c r="G64" s="9" t="str">
        <f>IF(E64="","",E64*IF(F64="",Admin!$C$6,F64))</f>
        <v/>
      </c>
      <c r="H64" s="4"/>
      <c r="I64" s="4"/>
      <c r="J64" s="9" t="str">
        <f>IF(H64="","",H64*IF(I64="",Admin!$C$6,I64))</f>
        <v/>
      </c>
      <c r="K64" s="4"/>
      <c r="L64" s="9" t="str">
        <f>IF(K64="","",K64*Admin!$C$6)</f>
        <v/>
      </c>
      <c r="M64" s="9" t="str">
        <f t="shared" si="7"/>
        <v/>
      </c>
      <c r="N64" s="4"/>
      <c r="O64" s="4"/>
      <c r="P64" s="4"/>
    </row>
    <row r="65" spans="2:16" ht="14.4" x14ac:dyDescent="0.3">
      <c r="B65" s="16"/>
      <c r="C65" s="2" t="str">
        <f t="shared" si="6"/>
        <v/>
      </c>
      <c r="D65" s="4"/>
      <c r="E65" s="4"/>
      <c r="F65" s="4"/>
      <c r="G65" s="9" t="str">
        <f>IF(E65="","",E65*IF(F65="",Admin!$C$6,F65))</f>
        <v/>
      </c>
      <c r="H65" s="4"/>
      <c r="I65" s="4"/>
      <c r="J65" s="9" t="str">
        <f>IF(H65="","",H65*IF(I65="",Admin!$C$6,I65))</f>
        <v/>
      </c>
      <c r="K65" s="4"/>
      <c r="L65" s="9" t="str">
        <f>IF(K65="","",K65*Admin!$C$6)</f>
        <v/>
      </c>
      <c r="M65" s="9" t="str">
        <f t="shared" si="7"/>
        <v/>
      </c>
      <c r="N65" s="4"/>
      <c r="O65" s="4"/>
      <c r="P65" s="4"/>
    </row>
    <row r="66" spans="2:16" ht="14.4" x14ac:dyDescent="0.3">
      <c r="B66" s="16"/>
      <c r="C66" s="2" t="str">
        <f t="shared" si="6"/>
        <v/>
      </c>
      <c r="D66" s="4"/>
      <c r="E66" s="4"/>
      <c r="F66" s="4"/>
      <c r="G66" s="9" t="str">
        <f>IF(E66="","",E66*IF(F66="",Admin!$C$6,F66))</f>
        <v/>
      </c>
      <c r="H66" s="4"/>
      <c r="I66" s="4"/>
      <c r="J66" s="9" t="str">
        <f>IF(H66="","",H66*IF(I66="",Admin!$C$6,I66))</f>
        <v/>
      </c>
      <c r="K66" s="4"/>
      <c r="L66" s="9" t="str">
        <f>IF(K66="","",K66*Admin!$C$6)</f>
        <v/>
      </c>
      <c r="M66" s="9" t="str">
        <f t="shared" si="7"/>
        <v/>
      </c>
      <c r="N66" s="4"/>
      <c r="O66" s="4"/>
      <c r="P66" s="4"/>
    </row>
    <row r="67" spans="2:16" ht="14.4" x14ac:dyDescent="0.3">
      <c r="B67" s="16"/>
      <c r="C67" s="2" t="str">
        <f t="shared" si="6"/>
        <v/>
      </c>
      <c r="D67" s="4"/>
      <c r="E67" s="4"/>
      <c r="F67" s="4"/>
      <c r="G67" s="9" t="str">
        <f>IF(E67="","",E67*IF(F67="",Admin!$C$6,F67))</f>
        <v/>
      </c>
      <c r="H67" s="4"/>
      <c r="I67" s="4"/>
      <c r="J67" s="9" t="str">
        <f>IF(H67="","",H67*IF(I67="",Admin!$C$6,I67))</f>
        <v/>
      </c>
      <c r="K67" s="4"/>
      <c r="L67" s="9" t="str">
        <f>IF(K67="","",K67*Admin!$C$6)</f>
        <v/>
      </c>
      <c r="M67" s="9" t="str">
        <f t="shared" si="7"/>
        <v/>
      </c>
      <c r="N67" s="4"/>
      <c r="O67" s="4"/>
      <c r="P67" s="4"/>
    </row>
    <row r="68" spans="2:16" ht="14.4" x14ac:dyDescent="0.3">
      <c r="B68" s="16"/>
      <c r="C68" s="2" t="str">
        <f t="shared" si="6"/>
        <v/>
      </c>
      <c r="D68" s="4"/>
      <c r="E68" s="4"/>
      <c r="F68" s="4"/>
      <c r="G68" s="9" t="str">
        <f>IF(E68="","",E68*IF(F68="",Admin!$C$6,F68))</f>
        <v/>
      </c>
      <c r="H68" s="4"/>
      <c r="I68" s="4"/>
      <c r="J68" s="9" t="str">
        <f>IF(H68="","",H68*IF(I68="",Admin!$C$6,I68))</f>
        <v/>
      </c>
      <c r="K68" s="4"/>
      <c r="L68" s="9" t="str">
        <f>IF(K68="","",K68*Admin!$C$6)</f>
        <v/>
      </c>
      <c r="M68" s="9" t="str">
        <f t="shared" si="7"/>
        <v/>
      </c>
      <c r="N68" s="4"/>
      <c r="O68" s="4"/>
      <c r="P68" s="4"/>
    </row>
    <row r="69" spans="2:16" ht="14.4" x14ac:dyDescent="0.3">
      <c r="B69" s="16"/>
      <c r="C69" s="2" t="str">
        <f t="shared" si="6"/>
        <v/>
      </c>
      <c r="D69" s="4"/>
      <c r="E69" s="4"/>
      <c r="F69" s="4"/>
      <c r="G69" s="9" t="str">
        <f>IF(E69="","",E69*IF(F69="",Admin!$C$6,F69))</f>
        <v/>
      </c>
      <c r="H69" s="4"/>
      <c r="I69" s="4"/>
      <c r="J69" s="9" t="str">
        <f>IF(H69="","",H69*IF(I69="",Admin!$C$6,I69))</f>
        <v/>
      </c>
      <c r="K69" s="4"/>
      <c r="L69" s="9" t="str">
        <f>IF(K69="","",K69*Admin!$C$6)</f>
        <v/>
      </c>
      <c r="M69" s="9" t="str">
        <f t="shared" si="7"/>
        <v/>
      </c>
      <c r="N69" s="4"/>
      <c r="O69" s="4"/>
      <c r="P69" s="4"/>
    </row>
    <row r="70" spans="2:16" ht="14.4" x14ac:dyDescent="0.3">
      <c r="B70" s="16"/>
      <c r="C70" s="2" t="str">
        <f t="shared" si="6"/>
        <v/>
      </c>
      <c r="D70" s="4"/>
      <c r="E70" s="4"/>
      <c r="F70" s="4"/>
      <c r="G70" s="9" t="str">
        <f>IF(E70="","",E70*IF(F70="",Admin!$C$6,F70))</f>
        <v/>
      </c>
      <c r="H70" s="4"/>
      <c r="I70" s="4"/>
      <c r="J70" s="9" t="str">
        <f>IF(H70="","",H70*IF(I70="",Admin!$C$6,I70))</f>
        <v/>
      </c>
      <c r="K70" s="4"/>
      <c r="L70" s="9" t="str">
        <f>IF(K70="","",K70*Admin!$C$6)</f>
        <v/>
      </c>
      <c r="M70" s="9" t="str">
        <f t="shared" si="7"/>
        <v/>
      </c>
      <c r="N70" s="4"/>
      <c r="O70" s="4"/>
      <c r="P70" s="4"/>
    </row>
    <row r="71" spans="2:16" ht="14.4" x14ac:dyDescent="0.3">
      <c r="B71" s="16"/>
      <c r="C71" s="2" t="str">
        <f t="shared" si="6"/>
        <v/>
      </c>
      <c r="D71" s="4"/>
      <c r="E71" s="4"/>
      <c r="F71" s="4"/>
      <c r="G71" s="9" t="str">
        <f>IF(E71="","",E71*IF(F71="",Admin!$C$6,F71))</f>
        <v/>
      </c>
      <c r="H71" s="4"/>
      <c r="I71" s="4"/>
      <c r="J71" s="9" t="str">
        <f>IF(H71="","",H71*IF(I71="",Admin!$C$6,I71))</f>
        <v/>
      </c>
      <c r="K71" s="4"/>
      <c r="L71" s="9" t="str">
        <f>IF(K71="","",K71*Admin!$C$6)</f>
        <v/>
      </c>
      <c r="M71" s="9" t="str">
        <f t="shared" si="7"/>
        <v/>
      </c>
      <c r="N71" s="4"/>
      <c r="O71" s="4"/>
      <c r="P71" s="4"/>
    </row>
    <row r="72" spans="2:16" ht="14.4" x14ac:dyDescent="0.3">
      <c r="B72" s="16"/>
      <c r="C72" s="2" t="str">
        <f t="shared" si="6"/>
        <v/>
      </c>
      <c r="D72" s="4"/>
      <c r="E72" s="4"/>
      <c r="F72" s="4"/>
      <c r="G72" s="9" t="str">
        <f>IF(E72="","",E72*IF(F72="",Admin!$C$6,F72))</f>
        <v/>
      </c>
      <c r="H72" s="4"/>
      <c r="I72" s="4"/>
      <c r="J72" s="9" t="str">
        <f>IF(H72="","",H72*IF(I72="",Admin!$C$6,I72))</f>
        <v/>
      </c>
      <c r="K72" s="4"/>
      <c r="L72" s="9" t="str">
        <f>IF(K72="","",K72*Admin!$C$6)</f>
        <v/>
      </c>
      <c r="M72" s="9" t="str">
        <f t="shared" si="7"/>
        <v/>
      </c>
      <c r="N72" s="4"/>
      <c r="O72" s="4"/>
      <c r="P72" s="4"/>
    </row>
    <row r="73" spans="2:16" ht="14.4" x14ac:dyDescent="0.3">
      <c r="B73" s="16"/>
      <c r="C73" s="2" t="str">
        <f t="shared" si="6"/>
        <v/>
      </c>
      <c r="D73" s="4"/>
      <c r="E73" s="4"/>
      <c r="F73" s="4"/>
      <c r="G73" s="9" t="str">
        <f>IF(E73="","",E73*IF(F73="",Admin!$C$6,F73))</f>
        <v/>
      </c>
      <c r="H73" s="4"/>
      <c r="I73" s="4"/>
      <c r="J73" s="9" t="str">
        <f>IF(H73="","",H73*IF(I73="",Admin!$C$6,I73))</f>
        <v/>
      </c>
      <c r="K73" s="4"/>
      <c r="L73" s="9" t="str">
        <f>IF(K73="","",K73*Admin!$C$6)</f>
        <v/>
      </c>
      <c r="M73" s="9" t="str">
        <f t="shared" si="7"/>
        <v/>
      </c>
      <c r="N73" s="4"/>
      <c r="O73" s="4"/>
      <c r="P73" s="4"/>
    </row>
    <row r="74" spans="2:16" ht="14.4" x14ac:dyDescent="0.3">
      <c r="B74" s="16"/>
      <c r="C74" s="2" t="str">
        <f t="shared" si="6"/>
        <v/>
      </c>
      <c r="D74" s="4"/>
      <c r="E74" s="4"/>
      <c r="F74" s="4"/>
      <c r="G74" s="9" t="str">
        <f>IF(E74="","",E74*IF(F74="",Admin!$C$6,F74))</f>
        <v/>
      </c>
      <c r="H74" s="4"/>
      <c r="I74" s="4"/>
      <c r="J74" s="9" t="str">
        <f>IF(H74="","",H74*IF(I74="",Admin!$C$6,I74))</f>
        <v/>
      </c>
      <c r="K74" s="4"/>
      <c r="L74" s="9" t="str">
        <f>IF(K74="","",K74*Admin!$C$6)</f>
        <v/>
      </c>
      <c r="M74" s="9" t="str">
        <f t="shared" si="7"/>
        <v/>
      </c>
      <c r="N74" s="4"/>
      <c r="O74" s="4"/>
      <c r="P74" s="4"/>
    </row>
    <row r="75" spans="2:16" ht="14.4" x14ac:dyDescent="0.3">
      <c r="B75" s="16"/>
      <c r="C75" s="2" t="str">
        <f t="shared" si="6"/>
        <v/>
      </c>
      <c r="D75" s="4"/>
      <c r="E75" s="4"/>
      <c r="F75" s="4"/>
      <c r="G75" s="9" t="str">
        <f>IF(E75="","",E75*IF(F75="",Admin!$C$6,F75))</f>
        <v/>
      </c>
      <c r="H75" s="4"/>
      <c r="I75" s="4"/>
      <c r="J75" s="9" t="str">
        <f>IF(H75="","",H75*IF(I75="",Admin!$C$6,I75))</f>
        <v/>
      </c>
      <c r="K75" s="4"/>
      <c r="L75" s="9" t="str">
        <f>IF(K75="","",K75*Admin!$C$6)</f>
        <v/>
      </c>
      <c r="M75" s="9" t="str">
        <f t="shared" si="7"/>
        <v/>
      </c>
      <c r="N75" s="4"/>
      <c r="O75" s="4"/>
      <c r="P75" s="4"/>
    </row>
    <row r="76" spans="2:16" ht="14.4" x14ac:dyDescent="0.3">
      <c r="B76" s="16"/>
      <c r="C76" s="2" t="str">
        <f t="shared" si="6"/>
        <v/>
      </c>
      <c r="D76" s="4"/>
      <c r="E76" s="4"/>
      <c r="F76" s="4"/>
      <c r="G76" s="9" t="str">
        <f>IF(E76="","",E76*IF(F76="",Admin!$C$6,F76))</f>
        <v/>
      </c>
      <c r="H76" s="4"/>
      <c r="I76" s="4"/>
      <c r="J76" s="9" t="str">
        <f>IF(H76="","",H76*IF(I76="",Admin!$C$6,I76))</f>
        <v/>
      </c>
      <c r="K76" s="4"/>
      <c r="L76" s="9" t="str">
        <f>IF(K76="","",K76*Admin!$C$6)</f>
        <v/>
      </c>
      <c r="M76" s="9" t="str">
        <f t="shared" si="7"/>
        <v/>
      </c>
      <c r="N76" s="4"/>
      <c r="O76" s="4"/>
      <c r="P76" s="4"/>
    </row>
    <row r="77" spans="2:16" ht="14.4" x14ac:dyDescent="0.3">
      <c r="B77" s="16"/>
      <c r="C77" s="2" t="str">
        <f t="shared" si="6"/>
        <v/>
      </c>
      <c r="D77" s="4"/>
      <c r="E77" s="4"/>
      <c r="F77" s="4"/>
      <c r="G77" s="9" t="str">
        <f>IF(E77="","",E77*IF(F77="",Admin!$C$6,F77))</f>
        <v/>
      </c>
      <c r="H77" s="4"/>
      <c r="I77" s="4"/>
      <c r="J77" s="9" t="str">
        <f>IF(H77="","",H77*IF(I77="",Admin!$C$6,I77))</f>
        <v/>
      </c>
      <c r="K77" s="4"/>
      <c r="L77" s="9" t="str">
        <f>IF(K77="","",K77*Admin!$C$6)</f>
        <v/>
      </c>
      <c r="M77" s="9" t="str">
        <f t="shared" si="7"/>
        <v/>
      </c>
      <c r="N77" s="4"/>
      <c r="O77" s="4"/>
      <c r="P77" s="4"/>
    </row>
    <row r="78" spans="2:16" ht="14.4" x14ac:dyDescent="0.3">
      <c r="B78" s="16"/>
      <c r="C78" s="2" t="str">
        <f t="shared" si="6"/>
        <v/>
      </c>
      <c r="D78" s="4"/>
      <c r="E78" s="4"/>
      <c r="F78" s="4"/>
      <c r="G78" s="9" t="str">
        <f>IF(E78="","",E78*IF(F78="",Admin!$C$6,F78))</f>
        <v/>
      </c>
      <c r="H78" s="4"/>
      <c r="I78" s="4"/>
      <c r="J78" s="9" t="str">
        <f>IF(H78="","",H78*IF(I78="",Admin!$C$6,I78))</f>
        <v/>
      </c>
      <c r="K78" s="4"/>
      <c r="L78" s="9" t="str">
        <f>IF(K78="","",K78*Admin!$C$6)</f>
        <v/>
      </c>
      <c r="M78" s="9" t="str">
        <f t="shared" si="7"/>
        <v/>
      </c>
      <c r="N78" s="4"/>
      <c r="O78" s="4"/>
      <c r="P78" s="4"/>
    </row>
    <row r="79" spans="2:16" ht="14.4" x14ac:dyDescent="0.3">
      <c r="B79" s="16"/>
      <c r="C79" s="2" t="str">
        <f t="shared" si="6"/>
        <v/>
      </c>
      <c r="D79" s="4"/>
      <c r="E79" s="4"/>
      <c r="F79" s="4"/>
      <c r="G79" s="9" t="str">
        <f>IF(E79="","",E79*IF(F79="",Admin!$C$6,F79))</f>
        <v/>
      </c>
      <c r="H79" s="4"/>
      <c r="I79" s="4"/>
      <c r="J79" s="9" t="str">
        <f>IF(H79="","",H79*IF(I79="",Admin!$C$6,I79))</f>
        <v/>
      </c>
      <c r="K79" s="4"/>
      <c r="L79" s="9" t="str">
        <f>IF(K79="","",K79*Admin!$C$6)</f>
        <v/>
      </c>
      <c r="M79" s="9" t="str">
        <f t="shared" si="7"/>
        <v/>
      </c>
      <c r="N79" s="4"/>
      <c r="O79" s="4"/>
      <c r="P79" s="4"/>
    </row>
    <row r="80" spans="2:16" ht="14.4" x14ac:dyDescent="0.3">
      <c r="B80" s="16"/>
      <c r="C80" s="2" t="str">
        <f t="shared" si="6"/>
        <v/>
      </c>
      <c r="D80" s="4"/>
      <c r="E80" s="4"/>
      <c r="F80" s="4"/>
      <c r="G80" s="9" t="str">
        <f>IF(E80="","",E80*IF(F80="",Admin!$C$6,F80))</f>
        <v/>
      </c>
      <c r="H80" s="4"/>
      <c r="I80" s="4"/>
      <c r="J80" s="9" t="str">
        <f>IF(H80="","",H80*IF(I80="",Admin!$C$6,I80))</f>
        <v/>
      </c>
      <c r="K80" s="4"/>
      <c r="L80" s="9" t="str">
        <f>IF(K80="","",K80*Admin!$C$6)</f>
        <v/>
      </c>
      <c r="M80" s="9" t="str">
        <f t="shared" si="7"/>
        <v/>
      </c>
      <c r="N80" s="4"/>
      <c r="O80" s="4"/>
      <c r="P80" s="4"/>
    </row>
  </sheetData>
  <mergeCells count="8">
    <mergeCell ref="J4:K4"/>
    <mergeCell ref="B6:P6"/>
    <mergeCell ref="A1:P1"/>
    <mergeCell ref="I5:K5"/>
    <mergeCell ref="B4:D4"/>
    <mergeCell ref="G4:I4"/>
    <mergeCell ref="L5:P5"/>
    <mergeCell ref="A2:P2"/>
  </mergeCells>
  <pageMargins left="0.75" right="0.75" top="1" bottom="1" header="0.5" footer="0.5"/>
  <pageSetup paperSize="9" fitToHeight="0" orientation="landscape"/>
  <headerFooter>
    <oddHeader>&amp;LKAZ PP Expansion | EHS</oddHeader>
    <oddFooter>&amp;RConfidential | 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400-000000000000}">
          <x14:formula1>
            <xm:f>Lookups!$J$5:$J$7</xm:f>
          </x14:formula1>
          <xm:sqref>D8:D400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C0392B"/>
    <pageSetUpPr fitToPage="1"/>
  </sheetPr>
  <dimension ref="A1:W119"/>
  <sheetViews>
    <sheetView showGridLines="0" workbookViewId="0">
      <pane ySplit="4" topLeftCell="A5" activePane="bottomLeft" state="frozen"/>
      <selection pane="bottomLeft"/>
    </sheetView>
  </sheetViews>
  <sheetFormatPr defaultRowHeight="13.8" x14ac:dyDescent="0.25"/>
  <cols>
    <col min="1" max="1" width="5" customWidth="1"/>
    <col min="2" max="3" width="12" customWidth="1"/>
    <col min="4" max="4" width="14" customWidth="1"/>
    <col min="5" max="5" width="22" customWidth="1"/>
    <col min="6" max="6" width="18" customWidth="1"/>
    <col min="7" max="7" width="16" customWidth="1"/>
    <col min="8" max="8" width="18" customWidth="1"/>
    <col min="9" max="9" width="14" customWidth="1"/>
    <col min="10" max="11" width="12" customWidth="1"/>
    <col min="12" max="13" width="14" customWidth="1"/>
    <col min="14" max="14" width="22" customWidth="1"/>
    <col min="15" max="15" width="18" customWidth="1"/>
    <col min="16" max="16" width="16" customWidth="1"/>
    <col min="17" max="17" width="14" customWidth="1"/>
    <col min="18" max="18" width="20" customWidth="1"/>
    <col min="19" max="19" width="16" customWidth="1"/>
    <col min="20" max="20" width="18" customWidth="1"/>
    <col min="22" max="22" width="18" customWidth="1"/>
    <col min="23" max="23" width="16" customWidth="1"/>
  </cols>
  <sheetData>
    <row r="1" spans="1:23" ht="31.95" customHeight="1" x14ac:dyDescent="0.25">
      <c r="A1" s="29" t="s">
        <v>286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</row>
    <row r="2" spans="1:23" ht="19.95" customHeight="1" x14ac:dyDescent="0.25">
      <c r="A2" s="34" t="s">
        <v>287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</row>
    <row r="3" spans="1:23" x14ac:dyDescent="0.25">
      <c r="B3" s="56" t="s">
        <v>288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</row>
    <row r="4" spans="1:23" ht="28.8" x14ac:dyDescent="0.3">
      <c r="B4" s="5" t="s">
        <v>289</v>
      </c>
      <c r="C4" s="5" t="s">
        <v>272</v>
      </c>
      <c r="D4" s="5" t="s">
        <v>290</v>
      </c>
      <c r="E4" s="5" t="s">
        <v>21</v>
      </c>
      <c r="F4" s="5" t="s">
        <v>291</v>
      </c>
      <c r="G4" s="5" t="s">
        <v>292</v>
      </c>
      <c r="H4" s="5" t="s">
        <v>293</v>
      </c>
      <c r="I4" s="5" t="s">
        <v>294</v>
      </c>
      <c r="J4" s="5" t="s">
        <v>295</v>
      </c>
      <c r="K4" s="5" t="s">
        <v>296</v>
      </c>
      <c r="L4" s="5" t="s">
        <v>297</v>
      </c>
      <c r="M4" s="5" t="s">
        <v>298</v>
      </c>
      <c r="N4" s="5" t="s">
        <v>299</v>
      </c>
      <c r="O4" s="5" t="s">
        <v>300</v>
      </c>
      <c r="P4" s="5" t="s">
        <v>301</v>
      </c>
      <c r="Q4" s="5" t="s">
        <v>111</v>
      </c>
      <c r="R4" s="5" t="s">
        <v>302</v>
      </c>
      <c r="S4" s="5" t="s">
        <v>303</v>
      </c>
      <c r="T4" s="5" t="s">
        <v>112</v>
      </c>
      <c r="V4" s="18" t="s">
        <v>304</v>
      </c>
    </row>
    <row r="5" spans="1:23" ht="14.4" x14ac:dyDescent="0.3">
      <c r="B5" s="4" t="s">
        <v>305</v>
      </c>
      <c r="C5" s="16">
        <v>46083</v>
      </c>
      <c r="D5" s="4" t="s">
        <v>306</v>
      </c>
      <c r="E5" s="4" t="s">
        <v>78</v>
      </c>
      <c r="F5" s="4" t="s">
        <v>307</v>
      </c>
      <c r="G5" s="4" t="s">
        <v>92</v>
      </c>
      <c r="H5" s="4" t="s">
        <v>308</v>
      </c>
      <c r="I5" s="4" t="s">
        <v>309</v>
      </c>
      <c r="J5" s="4"/>
      <c r="K5" s="4">
        <v>0</v>
      </c>
      <c r="L5" s="2" t="str">
        <f t="shared" ref="L5:L36" ca="1" si="0">IF(E5="","",IF(OR(E5="Medical Treatment (MTC)",E5="Restricted Work (RWC)",E5="Lost Time Injury (LTI)",E5="Recordable Case",E5="Fatality"),"Y",IF(L5="Y","Y","N")))</f>
        <v/>
      </c>
      <c r="M5" s="2" t="str">
        <f t="shared" ref="M5:M36" si="1">IF(E5="","",IF(OR(E5="Lost Time Injury (LTI)",E5="Fatality"),"Y","N"))</f>
        <v>N</v>
      </c>
      <c r="N5" s="4" t="s">
        <v>310</v>
      </c>
      <c r="O5" s="4" t="s">
        <v>311</v>
      </c>
      <c r="P5" s="4" t="s">
        <v>312</v>
      </c>
      <c r="Q5" s="4" t="s">
        <v>130</v>
      </c>
      <c r="R5" s="4" t="s">
        <v>313</v>
      </c>
      <c r="S5" s="16">
        <v>46084</v>
      </c>
      <c r="T5" s="4" t="s">
        <v>131</v>
      </c>
      <c r="V5" s="19" t="s">
        <v>78</v>
      </c>
      <c r="W5" s="2">
        <f>COUNTIF(E5:E200,"Near Miss")</f>
        <v>1</v>
      </c>
    </row>
    <row r="6" spans="1:23" ht="14.4" x14ac:dyDescent="0.3">
      <c r="B6" s="4" t="s">
        <v>314</v>
      </c>
      <c r="C6" s="16">
        <v>46086</v>
      </c>
      <c r="D6" s="4" t="s">
        <v>315</v>
      </c>
      <c r="E6" s="4" t="s">
        <v>133</v>
      </c>
      <c r="F6" s="4" t="s">
        <v>316</v>
      </c>
      <c r="G6" s="4" t="s">
        <v>93</v>
      </c>
      <c r="H6" s="4" t="s">
        <v>317</v>
      </c>
      <c r="I6" s="4" t="s">
        <v>309</v>
      </c>
      <c r="J6" s="4"/>
      <c r="K6" s="4">
        <v>0</v>
      </c>
      <c r="L6" s="2" t="str">
        <f t="shared" ca="1" si="0"/>
        <v/>
      </c>
      <c r="M6" s="2" t="str">
        <f t="shared" si="1"/>
        <v>N</v>
      </c>
      <c r="N6" s="4" t="s">
        <v>318</v>
      </c>
      <c r="O6" s="4" t="s">
        <v>319</v>
      </c>
      <c r="P6" s="4" t="s">
        <v>320</v>
      </c>
      <c r="Q6" s="4" t="s">
        <v>130</v>
      </c>
      <c r="R6" s="4" t="s">
        <v>321</v>
      </c>
      <c r="S6" s="16">
        <v>46087</v>
      </c>
      <c r="T6" s="4" t="s">
        <v>131</v>
      </c>
      <c r="V6" s="19" t="s">
        <v>126</v>
      </c>
      <c r="W6" s="2">
        <f>COUNTIF(E5:E200,"Unsafe Act")</f>
        <v>1</v>
      </c>
    </row>
    <row r="7" spans="1:23" ht="14.4" x14ac:dyDescent="0.3">
      <c r="B7" s="4" t="s">
        <v>322</v>
      </c>
      <c r="C7" s="16">
        <v>46089</v>
      </c>
      <c r="D7" s="4" t="s">
        <v>323</v>
      </c>
      <c r="E7" s="4" t="s">
        <v>81</v>
      </c>
      <c r="F7" s="4" t="s">
        <v>324</v>
      </c>
      <c r="G7" s="4" t="s">
        <v>140</v>
      </c>
      <c r="H7" s="4" t="s">
        <v>325</v>
      </c>
      <c r="I7" s="4" t="s">
        <v>326</v>
      </c>
      <c r="J7" s="4" t="s">
        <v>327</v>
      </c>
      <c r="K7" s="4">
        <v>0</v>
      </c>
      <c r="L7" s="2" t="str">
        <f t="shared" ca="1" si="0"/>
        <v/>
      </c>
      <c r="M7" s="2" t="str">
        <f t="shared" si="1"/>
        <v>N</v>
      </c>
      <c r="N7" s="4" t="s">
        <v>328</v>
      </c>
      <c r="O7" s="4" t="s">
        <v>329</v>
      </c>
      <c r="P7" s="4" t="s">
        <v>330</v>
      </c>
      <c r="Q7" s="4" t="s">
        <v>130</v>
      </c>
      <c r="R7" s="4" t="s">
        <v>331</v>
      </c>
      <c r="S7" s="16">
        <v>46089</v>
      </c>
      <c r="T7" s="4" t="s">
        <v>120</v>
      </c>
      <c r="V7" s="19" t="s">
        <v>133</v>
      </c>
      <c r="W7" s="2">
        <f>COUNTIF(E5:E200,"Unsafe Condition")</f>
        <v>1</v>
      </c>
    </row>
    <row r="8" spans="1:23" ht="14.4" x14ac:dyDescent="0.3">
      <c r="B8" s="4" t="s">
        <v>332</v>
      </c>
      <c r="C8" s="16">
        <v>46091</v>
      </c>
      <c r="D8" s="4" t="s">
        <v>333</v>
      </c>
      <c r="E8" s="4" t="s">
        <v>126</v>
      </c>
      <c r="F8" s="4" t="s">
        <v>334</v>
      </c>
      <c r="G8" s="4" t="s">
        <v>147</v>
      </c>
      <c r="H8" s="4" t="s">
        <v>335</v>
      </c>
      <c r="I8" s="4" t="s">
        <v>309</v>
      </c>
      <c r="J8" s="4"/>
      <c r="K8" s="4">
        <v>0</v>
      </c>
      <c r="L8" s="2" t="str">
        <f t="shared" ca="1" si="0"/>
        <v/>
      </c>
      <c r="M8" s="2" t="str">
        <f t="shared" si="1"/>
        <v>N</v>
      </c>
      <c r="N8" s="4" t="s">
        <v>336</v>
      </c>
      <c r="O8" s="4" t="s">
        <v>337</v>
      </c>
      <c r="P8" s="4" t="s">
        <v>338</v>
      </c>
      <c r="Q8" s="4" t="s">
        <v>119</v>
      </c>
      <c r="R8" s="4" t="s">
        <v>339</v>
      </c>
      <c r="S8" s="4"/>
      <c r="T8" s="4" t="s">
        <v>125</v>
      </c>
      <c r="V8" s="19" t="s">
        <v>81</v>
      </c>
      <c r="W8" s="2">
        <f>COUNTIF(E5:E200,"First Aid")</f>
        <v>1</v>
      </c>
    </row>
    <row r="9" spans="1:23" ht="14.4" x14ac:dyDescent="0.3">
      <c r="B9" s="4"/>
      <c r="C9" s="16"/>
      <c r="D9" s="4"/>
      <c r="E9" s="4"/>
      <c r="F9" s="4"/>
      <c r="G9" s="4"/>
      <c r="H9" s="4"/>
      <c r="I9" s="4"/>
      <c r="J9" s="4"/>
      <c r="K9" s="4"/>
      <c r="L9" s="2" t="str">
        <f t="shared" si="0"/>
        <v/>
      </c>
      <c r="M9" s="2" t="str">
        <f t="shared" si="1"/>
        <v/>
      </c>
      <c r="N9" s="4"/>
      <c r="O9" s="4"/>
      <c r="P9" s="4"/>
      <c r="Q9" s="4"/>
      <c r="R9" s="4"/>
      <c r="S9" s="16"/>
      <c r="T9" s="4"/>
      <c r="V9" s="19" t="s">
        <v>82</v>
      </c>
      <c r="W9" s="2" t="str">
        <f ca="1">COUNTIF(L5:L200,"Y")</f>
        <v/>
      </c>
    </row>
    <row r="10" spans="1:23" ht="14.4" x14ac:dyDescent="0.3">
      <c r="B10" s="4"/>
      <c r="C10" s="16"/>
      <c r="D10" s="4"/>
      <c r="E10" s="4"/>
      <c r="F10" s="4"/>
      <c r="G10" s="4"/>
      <c r="H10" s="4"/>
      <c r="I10" s="4"/>
      <c r="J10" s="4"/>
      <c r="K10" s="4"/>
      <c r="L10" s="2" t="str">
        <f t="shared" si="0"/>
        <v/>
      </c>
      <c r="M10" s="2" t="str">
        <f t="shared" si="1"/>
        <v/>
      </c>
      <c r="N10" s="4"/>
      <c r="O10" s="4"/>
      <c r="P10" s="4"/>
      <c r="Q10" s="4"/>
      <c r="R10" s="4"/>
      <c r="S10" s="16"/>
      <c r="T10" s="4"/>
      <c r="V10" s="19" t="s">
        <v>83</v>
      </c>
      <c r="W10" s="2">
        <f>COUNTIF(M5:M200,"Y")</f>
        <v>0</v>
      </c>
    </row>
    <row r="11" spans="1:23" ht="14.4" x14ac:dyDescent="0.3">
      <c r="B11" s="4"/>
      <c r="C11" s="16"/>
      <c r="D11" s="4"/>
      <c r="E11" s="4"/>
      <c r="F11" s="4"/>
      <c r="G11" s="4"/>
      <c r="H11" s="4"/>
      <c r="I11" s="4"/>
      <c r="J11" s="4"/>
      <c r="K11" s="4"/>
      <c r="L11" s="2" t="str">
        <f t="shared" si="0"/>
        <v/>
      </c>
      <c r="M11" s="2" t="str">
        <f t="shared" si="1"/>
        <v/>
      </c>
      <c r="N11" s="4"/>
      <c r="O11" s="4"/>
      <c r="P11" s="4"/>
      <c r="Q11" s="4"/>
      <c r="R11" s="4"/>
      <c r="S11" s="16"/>
      <c r="T11" s="4"/>
      <c r="V11" s="19" t="s">
        <v>340</v>
      </c>
      <c r="W11" s="2">
        <f>COUNTIF(E5:E200,"Fatality")</f>
        <v>0</v>
      </c>
    </row>
    <row r="12" spans="1:23" ht="14.4" x14ac:dyDescent="0.3">
      <c r="B12" s="4"/>
      <c r="C12" s="16"/>
      <c r="D12" s="4"/>
      <c r="E12" s="4"/>
      <c r="F12" s="4"/>
      <c r="G12" s="4"/>
      <c r="H12" s="4"/>
      <c r="I12" s="4"/>
      <c r="J12" s="4"/>
      <c r="K12" s="4"/>
      <c r="L12" s="2" t="str">
        <f t="shared" si="0"/>
        <v/>
      </c>
      <c r="M12" s="2" t="str">
        <f t="shared" si="1"/>
        <v/>
      </c>
      <c r="N12" s="4"/>
      <c r="O12" s="4"/>
      <c r="P12" s="4"/>
      <c r="Q12" s="4"/>
      <c r="R12" s="4"/>
      <c r="S12" s="16"/>
      <c r="T12" s="4"/>
      <c r="V12" s="19" t="s">
        <v>119</v>
      </c>
      <c r="W12" s="2">
        <f>COUNTIF(Q5:Q200,"Open")+COUNTIF(Q5:Q200,"In Progress")</f>
        <v>1</v>
      </c>
    </row>
    <row r="13" spans="1:23" ht="14.4" x14ac:dyDescent="0.3">
      <c r="B13" s="4"/>
      <c r="C13" s="16"/>
      <c r="D13" s="4"/>
      <c r="E13" s="4"/>
      <c r="F13" s="4"/>
      <c r="G13" s="4"/>
      <c r="H13" s="4"/>
      <c r="I13" s="4"/>
      <c r="J13" s="4"/>
      <c r="K13" s="4"/>
      <c r="L13" s="2" t="str">
        <f t="shared" si="0"/>
        <v/>
      </c>
      <c r="M13" s="2" t="str">
        <f t="shared" si="1"/>
        <v/>
      </c>
      <c r="N13" s="4"/>
      <c r="O13" s="4"/>
      <c r="P13" s="4"/>
      <c r="Q13" s="4"/>
      <c r="R13" s="4"/>
      <c r="S13" s="16"/>
      <c r="T13" s="4"/>
      <c r="V13" s="19" t="s">
        <v>341</v>
      </c>
      <c r="W13" s="3" t="str">
        <f ca="1">IFERROR(_xludf.AGGREGATE(14,6,C5:C200/(M5:M200="Y"),1),"None")</f>
        <v>None</v>
      </c>
    </row>
    <row r="14" spans="1:23" ht="14.4" x14ac:dyDescent="0.3">
      <c r="B14" s="4"/>
      <c r="C14" s="16"/>
      <c r="D14" s="4"/>
      <c r="E14" s="4"/>
      <c r="F14" s="4"/>
      <c r="G14" s="4"/>
      <c r="H14" s="4"/>
      <c r="I14" s="4"/>
      <c r="J14" s="4"/>
      <c r="K14" s="4"/>
      <c r="L14" s="2" t="str">
        <f t="shared" si="0"/>
        <v/>
      </c>
      <c r="M14" s="2" t="str">
        <f t="shared" si="1"/>
        <v/>
      </c>
      <c r="N14" s="4"/>
      <c r="O14" s="4"/>
      <c r="P14" s="4"/>
      <c r="Q14" s="4"/>
      <c r="R14" s="4"/>
      <c r="S14" s="16"/>
      <c r="T14" s="4"/>
      <c r="V14" s="19" t="s">
        <v>342</v>
      </c>
      <c r="W14" s="2">
        <f>SUM(K5:K200)</f>
        <v>0</v>
      </c>
    </row>
    <row r="15" spans="1:23" ht="14.4" x14ac:dyDescent="0.3">
      <c r="B15" s="4"/>
      <c r="C15" s="16"/>
      <c r="D15" s="4"/>
      <c r="E15" s="4"/>
      <c r="F15" s="4"/>
      <c r="G15" s="4"/>
      <c r="H15" s="4"/>
      <c r="I15" s="4"/>
      <c r="J15" s="4"/>
      <c r="K15" s="4"/>
      <c r="L15" s="2" t="str">
        <f t="shared" si="0"/>
        <v/>
      </c>
      <c r="M15" s="2" t="str">
        <f t="shared" si="1"/>
        <v/>
      </c>
      <c r="N15" s="4"/>
      <c r="O15" s="4"/>
      <c r="P15" s="4"/>
      <c r="Q15" s="4"/>
      <c r="R15" s="4"/>
      <c r="S15" s="16"/>
      <c r="T15" s="4"/>
    </row>
    <row r="16" spans="1:23" ht="14.4" x14ac:dyDescent="0.3">
      <c r="B16" s="4"/>
      <c r="C16" s="16"/>
      <c r="D16" s="4"/>
      <c r="E16" s="4"/>
      <c r="F16" s="4"/>
      <c r="G16" s="4"/>
      <c r="H16" s="4"/>
      <c r="I16" s="4"/>
      <c r="J16" s="4"/>
      <c r="K16" s="4"/>
      <c r="L16" s="2" t="str">
        <f t="shared" si="0"/>
        <v/>
      </c>
      <c r="M16" s="2" t="str">
        <f t="shared" si="1"/>
        <v/>
      </c>
      <c r="N16" s="4"/>
      <c r="O16" s="4"/>
      <c r="P16" s="4"/>
      <c r="Q16" s="4"/>
      <c r="R16" s="4"/>
      <c r="S16" s="16"/>
      <c r="T16" s="4"/>
    </row>
    <row r="17" spans="2:20" ht="14.4" x14ac:dyDescent="0.3">
      <c r="B17" s="4"/>
      <c r="C17" s="16"/>
      <c r="D17" s="4"/>
      <c r="E17" s="4"/>
      <c r="F17" s="4"/>
      <c r="G17" s="4"/>
      <c r="H17" s="4"/>
      <c r="I17" s="4"/>
      <c r="J17" s="4"/>
      <c r="K17" s="4"/>
      <c r="L17" s="2" t="str">
        <f t="shared" si="0"/>
        <v/>
      </c>
      <c r="M17" s="2" t="str">
        <f t="shared" si="1"/>
        <v/>
      </c>
      <c r="N17" s="4"/>
      <c r="O17" s="4"/>
      <c r="P17" s="4"/>
      <c r="Q17" s="4"/>
      <c r="R17" s="4"/>
      <c r="S17" s="16"/>
      <c r="T17" s="4"/>
    </row>
    <row r="18" spans="2:20" ht="14.4" x14ac:dyDescent="0.3">
      <c r="B18" s="4"/>
      <c r="C18" s="16"/>
      <c r="D18" s="4"/>
      <c r="E18" s="4"/>
      <c r="F18" s="4"/>
      <c r="G18" s="4"/>
      <c r="H18" s="4"/>
      <c r="I18" s="4"/>
      <c r="J18" s="4"/>
      <c r="K18" s="4"/>
      <c r="L18" s="2" t="str">
        <f t="shared" si="0"/>
        <v/>
      </c>
      <c r="M18" s="2" t="str">
        <f t="shared" si="1"/>
        <v/>
      </c>
      <c r="N18" s="4"/>
      <c r="O18" s="4"/>
      <c r="P18" s="4"/>
      <c r="Q18" s="4"/>
      <c r="R18" s="4"/>
      <c r="S18" s="16"/>
      <c r="T18" s="4"/>
    </row>
    <row r="19" spans="2:20" ht="14.4" x14ac:dyDescent="0.3">
      <c r="B19" s="4"/>
      <c r="C19" s="16"/>
      <c r="D19" s="4"/>
      <c r="E19" s="4"/>
      <c r="F19" s="4"/>
      <c r="G19" s="4"/>
      <c r="H19" s="4"/>
      <c r="I19" s="4"/>
      <c r="J19" s="4"/>
      <c r="K19" s="4"/>
      <c r="L19" s="2" t="str">
        <f t="shared" si="0"/>
        <v/>
      </c>
      <c r="M19" s="2" t="str">
        <f t="shared" si="1"/>
        <v/>
      </c>
      <c r="N19" s="4"/>
      <c r="O19" s="4"/>
      <c r="P19" s="4"/>
      <c r="Q19" s="4"/>
      <c r="R19" s="4"/>
      <c r="S19" s="16"/>
      <c r="T19" s="4"/>
    </row>
    <row r="20" spans="2:20" ht="14.4" x14ac:dyDescent="0.3">
      <c r="B20" s="4"/>
      <c r="C20" s="16"/>
      <c r="D20" s="4"/>
      <c r="E20" s="4"/>
      <c r="F20" s="4"/>
      <c r="G20" s="4"/>
      <c r="H20" s="4"/>
      <c r="I20" s="4"/>
      <c r="J20" s="4"/>
      <c r="K20" s="4"/>
      <c r="L20" s="2" t="str">
        <f t="shared" si="0"/>
        <v/>
      </c>
      <c r="M20" s="2" t="str">
        <f t="shared" si="1"/>
        <v/>
      </c>
      <c r="N20" s="4"/>
      <c r="O20" s="4"/>
      <c r="P20" s="4"/>
      <c r="Q20" s="4"/>
      <c r="R20" s="4"/>
      <c r="S20" s="16"/>
      <c r="T20" s="4"/>
    </row>
    <row r="21" spans="2:20" ht="14.4" x14ac:dyDescent="0.3">
      <c r="B21" s="4"/>
      <c r="C21" s="16"/>
      <c r="D21" s="4"/>
      <c r="E21" s="4"/>
      <c r="F21" s="4"/>
      <c r="G21" s="4"/>
      <c r="H21" s="4"/>
      <c r="I21" s="4"/>
      <c r="J21" s="4"/>
      <c r="K21" s="4"/>
      <c r="L21" s="2" t="str">
        <f t="shared" si="0"/>
        <v/>
      </c>
      <c r="M21" s="2" t="str">
        <f t="shared" si="1"/>
        <v/>
      </c>
      <c r="N21" s="4"/>
      <c r="O21" s="4"/>
      <c r="P21" s="4"/>
      <c r="Q21" s="4"/>
      <c r="R21" s="4"/>
      <c r="S21" s="16"/>
      <c r="T21" s="4"/>
    </row>
    <row r="22" spans="2:20" ht="14.4" x14ac:dyDescent="0.3">
      <c r="B22" s="4"/>
      <c r="C22" s="16"/>
      <c r="D22" s="4"/>
      <c r="E22" s="4"/>
      <c r="F22" s="4"/>
      <c r="G22" s="4"/>
      <c r="H22" s="4"/>
      <c r="I22" s="4"/>
      <c r="J22" s="4"/>
      <c r="K22" s="4"/>
      <c r="L22" s="2" t="str">
        <f t="shared" si="0"/>
        <v/>
      </c>
      <c r="M22" s="2" t="str">
        <f t="shared" si="1"/>
        <v/>
      </c>
      <c r="N22" s="4"/>
      <c r="O22" s="4"/>
      <c r="P22" s="4"/>
      <c r="Q22" s="4"/>
      <c r="R22" s="4"/>
      <c r="S22" s="16"/>
      <c r="T22" s="4"/>
    </row>
    <row r="23" spans="2:20" ht="14.4" x14ac:dyDescent="0.3">
      <c r="B23" s="4"/>
      <c r="C23" s="16"/>
      <c r="D23" s="4"/>
      <c r="E23" s="4"/>
      <c r="F23" s="4"/>
      <c r="G23" s="4"/>
      <c r="H23" s="4"/>
      <c r="I23" s="4"/>
      <c r="J23" s="4"/>
      <c r="K23" s="4"/>
      <c r="L23" s="2" t="str">
        <f t="shared" si="0"/>
        <v/>
      </c>
      <c r="M23" s="2" t="str">
        <f t="shared" si="1"/>
        <v/>
      </c>
      <c r="N23" s="4"/>
      <c r="O23" s="4"/>
      <c r="P23" s="4"/>
      <c r="Q23" s="4"/>
      <c r="R23" s="4"/>
      <c r="S23" s="16"/>
      <c r="T23" s="4"/>
    </row>
    <row r="24" spans="2:20" ht="14.4" x14ac:dyDescent="0.3">
      <c r="B24" s="4"/>
      <c r="C24" s="16"/>
      <c r="D24" s="4"/>
      <c r="E24" s="4"/>
      <c r="F24" s="4"/>
      <c r="G24" s="4"/>
      <c r="H24" s="4"/>
      <c r="I24" s="4"/>
      <c r="J24" s="4"/>
      <c r="K24" s="4"/>
      <c r="L24" s="2" t="str">
        <f t="shared" si="0"/>
        <v/>
      </c>
      <c r="M24" s="2" t="str">
        <f t="shared" si="1"/>
        <v/>
      </c>
      <c r="N24" s="4"/>
      <c r="O24" s="4"/>
      <c r="P24" s="4"/>
      <c r="Q24" s="4"/>
      <c r="R24" s="4"/>
      <c r="S24" s="16"/>
      <c r="T24" s="4"/>
    </row>
    <row r="25" spans="2:20" ht="14.4" x14ac:dyDescent="0.3">
      <c r="B25" s="4"/>
      <c r="C25" s="16"/>
      <c r="D25" s="4"/>
      <c r="E25" s="4"/>
      <c r="F25" s="4"/>
      <c r="G25" s="4"/>
      <c r="H25" s="4"/>
      <c r="I25" s="4"/>
      <c r="J25" s="4"/>
      <c r="K25" s="4"/>
      <c r="L25" s="2" t="str">
        <f t="shared" si="0"/>
        <v/>
      </c>
      <c r="M25" s="2" t="str">
        <f t="shared" si="1"/>
        <v/>
      </c>
      <c r="N25" s="4"/>
      <c r="O25" s="4"/>
      <c r="P25" s="4"/>
      <c r="Q25" s="4"/>
      <c r="R25" s="4"/>
      <c r="S25" s="16"/>
      <c r="T25" s="4"/>
    </row>
    <row r="26" spans="2:20" ht="14.4" x14ac:dyDescent="0.3">
      <c r="B26" s="4"/>
      <c r="C26" s="16"/>
      <c r="D26" s="4"/>
      <c r="E26" s="4"/>
      <c r="F26" s="4"/>
      <c r="G26" s="4"/>
      <c r="H26" s="4"/>
      <c r="I26" s="4"/>
      <c r="J26" s="4"/>
      <c r="K26" s="4"/>
      <c r="L26" s="2" t="str">
        <f t="shared" si="0"/>
        <v/>
      </c>
      <c r="M26" s="2" t="str">
        <f t="shared" si="1"/>
        <v/>
      </c>
      <c r="N26" s="4"/>
      <c r="O26" s="4"/>
      <c r="P26" s="4"/>
      <c r="Q26" s="4"/>
      <c r="R26" s="4"/>
      <c r="S26" s="16"/>
      <c r="T26" s="4"/>
    </row>
    <row r="27" spans="2:20" ht="14.4" x14ac:dyDescent="0.3">
      <c r="B27" s="4"/>
      <c r="C27" s="16"/>
      <c r="D27" s="4"/>
      <c r="E27" s="4"/>
      <c r="F27" s="4"/>
      <c r="G27" s="4"/>
      <c r="H27" s="4"/>
      <c r="I27" s="4"/>
      <c r="J27" s="4"/>
      <c r="K27" s="4"/>
      <c r="L27" s="2" t="str">
        <f t="shared" si="0"/>
        <v/>
      </c>
      <c r="M27" s="2" t="str">
        <f t="shared" si="1"/>
        <v/>
      </c>
      <c r="N27" s="4"/>
      <c r="O27" s="4"/>
      <c r="P27" s="4"/>
      <c r="Q27" s="4"/>
      <c r="R27" s="4"/>
      <c r="S27" s="16"/>
      <c r="T27" s="4"/>
    </row>
    <row r="28" spans="2:20" ht="14.4" x14ac:dyDescent="0.3">
      <c r="B28" s="4"/>
      <c r="C28" s="16"/>
      <c r="D28" s="4"/>
      <c r="E28" s="4"/>
      <c r="F28" s="4"/>
      <c r="G28" s="4"/>
      <c r="H28" s="4"/>
      <c r="I28" s="4"/>
      <c r="J28" s="4"/>
      <c r="K28" s="4"/>
      <c r="L28" s="2" t="str">
        <f t="shared" si="0"/>
        <v/>
      </c>
      <c r="M28" s="2" t="str">
        <f t="shared" si="1"/>
        <v/>
      </c>
      <c r="N28" s="4"/>
      <c r="O28" s="4"/>
      <c r="P28" s="4"/>
      <c r="Q28" s="4"/>
      <c r="R28" s="4"/>
      <c r="S28" s="16"/>
      <c r="T28" s="4"/>
    </row>
    <row r="29" spans="2:20" ht="14.4" x14ac:dyDescent="0.3">
      <c r="B29" s="4"/>
      <c r="C29" s="16"/>
      <c r="D29" s="4"/>
      <c r="E29" s="4"/>
      <c r="F29" s="4"/>
      <c r="G29" s="4"/>
      <c r="H29" s="4"/>
      <c r="I29" s="4"/>
      <c r="J29" s="4"/>
      <c r="K29" s="4"/>
      <c r="L29" s="2" t="str">
        <f t="shared" si="0"/>
        <v/>
      </c>
      <c r="M29" s="2" t="str">
        <f t="shared" si="1"/>
        <v/>
      </c>
      <c r="N29" s="4"/>
      <c r="O29" s="4"/>
      <c r="P29" s="4"/>
      <c r="Q29" s="4"/>
      <c r="R29" s="4"/>
      <c r="S29" s="16"/>
      <c r="T29" s="4"/>
    </row>
    <row r="30" spans="2:20" ht="14.4" x14ac:dyDescent="0.3">
      <c r="B30" s="4"/>
      <c r="C30" s="16"/>
      <c r="D30" s="4"/>
      <c r="E30" s="4"/>
      <c r="F30" s="4"/>
      <c r="G30" s="4"/>
      <c r="H30" s="4"/>
      <c r="I30" s="4"/>
      <c r="J30" s="4"/>
      <c r="K30" s="4"/>
      <c r="L30" s="2" t="str">
        <f t="shared" si="0"/>
        <v/>
      </c>
      <c r="M30" s="2" t="str">
        <f t="shared" si="1"/>
        <v/>
      </c>
      <c r="N30" s="4"/>
      <c r="O30" s="4"/>
      <c r="P30" s="4"/>
      <c r="Q30" s="4"/>
      <c r="R30" s="4"/>
      <c r="S30" s="16"/>
      <c r="T30" s="4"/>
    </row>
    <row r="31" spans="2:20" ht="14.4" x14ac:dyDescent="0.3">
      <c r="B31" s="4"/>
      <c r="C31" s="16"/>
      <c r="D31" s="4"/>
      <c r="E31" s="4"/>
      <c r="F31" s="4"/>
      <c r="G31" s="4"/>
      <c r="H31" s="4"/>
      <c r="I31" s="4"/>
      <c r="J31" s="4"/>
      <c r="K31" s="4"/>
      <c r="L31" s="2" t="str">
        <f t="shared" si="0"/>
        <v/>
      </c>
      <c r="M31" s="2" t="str">
        <f t="shared" si="1"/>
        <v/>
      </c>
      <c r="N31" s="4"/>
      <c r="O31" s="4"/>
      <c r="P31" s="4"/>
      <c r="Q31" s="4"/>
      <c r="R31" s="4"/>
      <c r="S31" s="16"/>
      <c r="T31" s="4"/>
    </row>
    <row r="32" spans="2:20" ht="14.4" x14ac:dyDescent="0.3">
      <c r="B32" s="4"/>
      <c r="C32" s="16"/>
      <c r="D32" s="4"/>
      <c r="E32" s="4"/>
      <c r="F32" s="4"/>
      <c r="G32" s="4"/>
      <c r="H32" s="4"/>
      <c r="I32" s="4"/>
      <c r="J32" s="4"/>
      <c r="K32" s="4"/>
      <c r="L32" s="2" t="str">
        <f t="shared" si="0"/>
        <v/>
      </c>
      <c r="M32" s="2" t="str">
        <f t="shared" si="1"/>
        <v/>
      </c>
      <c r="N32" s="4"/>
      <c r="O32" s="4"/>
      <c r="P32" s="4"/>
      <c r="Q32" s="4"/>
      <c r="R32" s="4"/>
      <c r="S32" s="16"/>
      <c r="T32" s="4"/>
    </row>
    <row r="33" spans="2:20" ht="14.4" x14ac:dyDescent="0.3">
      <c r="B33" s="4"/>
      <c r="C33" s="16"/>
      <c r="D33" s="4"/>
      <c r="E33" s="4"/>
      <c r="F33" s="4"/>
      <c r="G33" s="4"/>
      <c r="H33" s="4"/>
      <c r="I33" s="4"/>
      <c r="J33" s="4"/>
      <c r="K33" s="4"/>
      <c r="L33" s="2" t="str">
        <f t="shared" si="0"/>
        <v/>
      </c>
      <c r="M33" s="2" t="str">
        <f t="shared" si="1"/>
        <v/>
      </c>
      <c r="N33" s="4"/>
      <c r="O33" s="4"/>
      <c r="P33" s="4"/>
      <c r="Q33" s="4"/>
      <c r="R33" s="4"/>
      <c r="S33" s="16"/>
      <c r="T33" s="4"/>
    </row>
    <row r="34" spans="2:20" ht="14.4" x14ac:dyDescent="0.3">
      <c r="B34" s="4"/>
      <c r="C34" s="16"/>
      <c r="D34" s="4"/>
      <c r="E34" s="4"/>
      <c r="F34" s="4"/>
      <c r="G34" s="4"/>
      <c r="H34" s="4"/>
      <c r="I34" s="4"/>
      <c r="J34" s="4"/>
      <c r="K34" s="4"/>
      <c r="L34" s="2" t="str">
        <f t="shared" si="0"/>
        <v/>
      </c>
      <c r="M34" s="2" t="str">
        <f t="shared" si="1"/>
        <v/>
      </c>
      <c r="N34" s="4"/>
      <c r="O34" s="4"/>
      <c r="P34" s="4"/>
      <c r="Q34" s="4"/>
      <c r="R34" s="4"/>
      <c r="S34" s="16"/>
      <c r="T34" s="4"/>
    </row>
    <row r="35" spans="2:20" ht="14.4" x14ac:dyDescent="0.3">
      <c r="B35" s="4"/>
      <c r="C35" s="16"/>
      <c r="D35" s="4"/>
      <c r="E35" s="4"/>
      <c r="F35" s="4"/>
      <c r="G35" s="4"/>
      <c r="H35" s="4"/>
      <c r="I35" s="4"/>
      <c r="J35" s="4"/>
      <c r="K35" s="4"/>
      <c r="L35" s="2" t="str">
        <f t="shared" si="0"/>
        <v/>
      </c>
      <c r="M35" s="2" t="str">
        <f t="shared" si="1"/>
        <v/>
      </c>
      <c r="N35" s="4"/>
      <c r="O35" s="4"/>
      <c r="P35" s="4"/>
      <c r="Q35" s="4"/>
      <c r="R35" s="4"/>
      <c r="S35" s="16"/>
      <c r="T35" s="4"/>
    </row>
    <row r="36" spans="2:20" ht="14.4" x14ac:dyDescent="0.3">
      <c r="B36" s="4"/>
      <c r="C36" s="16"/>
      <c r="D36" s="4"/>
      <c r="E36" s="4"/>
      <c r="F36" s="4"/>
      <c r="G36" s="4"/>
      <c r="H36" s="4"/>
      <c r="I36" s="4"/>
      <c r="J36" s="4"/>
      <c r="K36" s="4"/>
      <c r="L36" s="2" t="str">
        <f t="shared" si="0"/>
        <v/>
      </c>
      <c r="M36" s="2" t="str">
        <f t="shared" si="1"/>
        <v/>
      </c>
      <c r="N36" s="4"/>
      <c r="O36" s="4"/>
      <c r="P36" s="4"/>
      <c r="Q36" s="4"/>
      <c r="R36" s="4"/>
      <c r="S36" s="16"/>
      <c r="T36" s="4"/>
    </row>
    <row r="37" spans="2:20" ht="14.4" x14ac:dyDescent="0.3">
      <c r="B37" s="4"/>
      <c r="C37" s="16"/>
      <c r="D37" s="4"/>
      <c r="E37" s="4"/>
      <c r="F37" s="4"/>
      <c r="G37" s="4"/>
      <c r="H37" s="4"/>
      <c r="I37" s="4"/>
      <c r="J37" s="4"/>
      <c r="K37" s="4"/>
      <c r="L37" s="2" t="str">
        <f t="shared" ref="L37:L68" si="2">IF(E37="","",IF(OR(E37="Medical Treatment (MTC)",E37="Restricted Work (RWC)",E37="Lost Time Injury (LTI)",E37="Recordable Case",E37="Fatality"),"Y",IF(L37="Y","Y","N")))</f>
        <v/>
      </c>
      <c r="M37" s="2" t="str">
        <f t="shared" ref="M37:M68" si="3">IF(E37="","",IF(OR(E37="Lost Time Injury (LTI)",E37="Fatality"),"Y","N"))</f>
        <v/>
      </c>
      <c r="N37" s="4"/>
      <c r="O37" s="4"/>
      <c r="P37" s="4"/>
      <c r="Q37" s="4"/>
      <c r="R37" s="4"/>
      <c r="S37" s="16"/>
      <c r="T37" s="4"/>
    </row>
    <row r="38" spans="2:20" ht="14.4" x14ac:dyDescent="0.3">
      <c r="B38" s="4"/>
      <c r="C38" s="16"/>
      <c r="D38" s="4"/>
      <c r="E38" s="4"/>
      <c r="F38" s="4"/>
      <c r="G38" s="4"/>
      <c r="H38" s="4"/>
      <c r="I38" s="4"/>
      <c r="J38" s="4"/>
      <c r="K38" s="4"/>
      <c r="L38" s="2" t="str">
        <f t="shared" si="2"/>
        <v/>
      </c>
      <c r="M38" s="2" t="str">
        <f t="shared" si="3"/>
        <v/>
      </c>
      <c r="N38" s="4"/>
      <c r="O38" s="4"/>
      <c r="P38" s="4"/>
      <c r="Q38" s="4"/>
      <c r="R38" s="4"/>
      <c r="S38" s="16"/>
      <c r="T38" s="4"/>
    </row>
    <row r="39" spans="2:20" ht="14.4" x14ac:dyDescent="0.3">
      <c r="B39" s="4"/>
      <c r="C39" s="16"/>
      <c r="D39" s="4"/>
      <c r="E39" s="4"/>
      <c r="F39" s="4"/>
      <c r="G39" s="4"/>
      <c r="H39" s="4"/>
      <c r="I39" s="4"/>
      <c r="J39" s="4"/>
      <c r="K39" s="4"/>
      <c r="L39" s="2" t="str">
        <f t="shared" si="2"/>
        <v/>
      </c>
      <c r="M39" s="2" t="str">
        <f t="shared" si="3"/>
        <v/>
      </c>
      <c r="N39" s="4"/>
      <c r="O39" s="4"/>
      <c r="P39" s="4"/>
      <c r="Q39" s="4"/>
      <c r="R39" s="4"/>
      <c r="S39" s="16"/>
      <c r="T39" s="4"/>
    </row>
    <row r="40" spans="2:20" ht="14.4" x14ac:dyDescent="0.3">
      <c r="B40" s="4"/>
      <c r="C40" s="16"/>
      <c r="D40" s="4"/>
      <c r="E40" s="4"/>
      <c r="F40" s="4"/>
      <c r="G40" s="4"/>
      <c r="H40" s="4"/>
      <c r="I40" s="4"/>
      <c r="J40" s="4"/>
      <c r="K40" s="4"/>
      <c r="L40" s="2" t="str">
        <f t="shared" si="2"/>
        <v/>
      </c>
      <c r="M40" s="2" t="str">
        <f t="shared" si="3"/>
        <v/>
      </c>
      <c r="N40" s="4"/>
      <c r="O40" s="4"/>
      <c r="P40" s="4"/>
      <c r="Q40" s="4"/>
      <c r="R40" s="4"/>
      <c r="S40" s="16"/>
      <c r="T40" s="4"/>
    </row>
    <row r="41" spans="2:20" ht="14.4" x14ac:dyDescent="0.3">
      <c r="B41" s="4"/>
      <c r="C41" s="16"/>
      <c r="D41" s="4"/>
      <c r="E41" s="4"/>
      <c r="F41" s="4"/>
      <c r="G41" s="4"/>
      <c r="H41" s="4"/>
      <c r="I41" s="4"/>
      <c r="J41" s="4"/>
      <c r="K41" s="4"/>
      <c r="L41" s="2" t="str">
        <f t="shared" si="2"/>
        <v/>
      </c>
      <c r="M41" s="2" t="str">
        <f t="shared" si="3"/>
        <v/>
      </c>
      <c r="N41" s="4"/>
      <c r="O41" s="4"/>
      <c r="P41" s="4"/>
      <c r="Q41" s="4"/>
      <c r="R41" s="4"/>
      <c r="S41" s="16"/>
      <c r="T41" s="4"/>
    </row>
    <row r="42" spans="2:20" ht="14.4" x14ac:dyDescent="0.3">
      <c r="B42" s="4"/>
      <c r="C42" s="16"/>
      <c r="D42" s="4"/>
      <c r="E42" s="4"/>
      <c r="F42" s="4"/>
      <c r="G42" s="4"/>
      <c r="H42" s="4"/>
      <c r="I42" s="4"/>
      <c r="J42" s="4"/>
      <c r="K42" s="4"/>
      <c r="L42" s="2" t="str">
        <f t="shared" si="2"/>
        <v/>
      </c>
      <c r="M42" s="2" t="str">
        <f t="shared" si="3"/>
        <v/>
      </c>
      <c r="N42" s="4"/>
      <c r="O42" s="4"/>
      <c r="P42" s="4"/>
      <c r="Q42" s="4"/>
      <c r="R42" s="4"/>
      <c r="S42" s="16"/>
      <c r="T42" s="4"/>
    </row>
    <row r="43" spans="2:20" ht="14.4" x14ac:dyDescent="0.3">
      <c r="B43" s="4"/>
      <c r="C43" s="16"/>
      <c r="D43" s="4"/>
      <c r="E43" s="4"/>
      <c r="F43" s="4"/>
      <c r="G43" s="4"/>
      <c r="H43" s="4"/>
      <c r="I43" s="4"/>
      <c r="J43" s="4"/>
      <c r="K43" s="4"/>
      <c r="L43" s="2" t="str">
        <f t="shared" si="2"/>
        <v/>
      </c>
      <c r="M43" s="2" t="str">
        <f t="shared" si="3"/>
        <v/>
      </c>
      <c r="N43" s="4"/>
      <c r="O43" s="4"/>
      <c r="P43" s="4"/>
      <c r="Q43" s="4"/>
      <c r="R43" s="4"/>
      <c r="S43" s="16"/>
      <c r="T43" s="4"/>
    </row>
    <row r="44" spans="2:20" ht="14.4" x14ac:dyDescent="0.3">
      <c r="B44" s="4"/>
      <c r="C44" s="16"/>
      <c r="D44" s="4"/>
      <c r="E44" s="4"/>
      <c r="F44" s="4"/>
      <c r="G44" s="4"/>
      <c r="H44" s="4"/>
      <c r="I44" s="4"/>
      <c r="J44" s="4"/>
      <c r="K44" s="4"/>
      <c r="L44" s="2" t="str">
        <f t="shared" si="2"/>
        <v/>
      </c>
      <c r="M44" s="2" t="str">
        <f t="shared" si="3"/>
        <v/>
      </c>
      <c r="N44" s="4"/>
      <c r="O44" s="4"/>
      <c r="P44" s="4"/>
      <c r="Q44" s="4"/>
      <c r="R44" s="4"/>
      <c r="S44" s="16"/>
      <c r="T44" s="4"/>
    </row>
    <row r="45" spans="2:20" ht="14.4" x14ac:dyDescent="0.3">
      <c r="B45" s="4"/>
      <c r="C45" s="16"/>
      <c r="D45" s="4"/>
      <c r="E45" s="4"/>
      <c r="F45" s="4"/>
      <c r="G45" s="4"/>
      <c r="H45" s="4"/>
      <c r="I45" s="4"/>
      <c r="J45" s="4"/>
      <c r="K45" s="4"/>
      <c r="L45" s="2" t="str">
        <f t="shared" si="2"/>
        <v/>
      </c>
      <c r="M45" s="2" t="str">
        <f t="shared" si="3"/>
        <v/>
      </c>
      <c r="N45" s="4"/>
      <c r="O45" s="4"/>
      <c r="P45" s="4"/>
      <c r="Q45" s="4"/>
      <c r="R45" s="4"/>
      <c r="S45" s="16"/>
      <c r="T45" s="4"/>
    </row>
    <row r="46" spans="2:20" ht="14.4" x14ac:dyDescent="0.3">
      <c r="B46" s="4"/>
      <c r="C46" s="16"/>
      <c r="D46" s="4"/>
      <c r="E46" s="4"/>
      <c r="F46" s="4"/>
      <c r="G46" s="4"/>
      <c r="H46" s="4"/>
      <c r="I46" s="4"/>
      <c r="J46" s="4"/>
      <c r="K46" s="4"/>
      <c r="L46" s="2" t="str">
        <f t="shared" si="2"/>
        <v/>
      </c>
      <c r="M46" s="2" t="str">
        <f t="shared" si="3"/>
        <v/>
      </c>
      <c r="N46" s="4"/>
      <c r="O46" s="4"/>
      <c r="P46" s="4"/>
      <c r="Q46" s="4"/>
      <c r="R46" s="4"/>
      <c r="S46" s="16"/>
      <c r="T46" s="4"/>
    </row>
    <row r="47" spans="2:20" ht="14.4" x14ac:dyDescent="0.3">
      <c r="B47" s="4"/>
      <c r="C47" s="16"/>
      <c r="D47" s="4"/>
      <c r="E47" s="4"/>
      <c r="F47" s="4"/>
      <c r="G47" s="4"/>
      <c r="H47" s="4"/>
      <c r="I47" s="4"/>
      <c r="J47" s="4"/>
      <c r="K47" s="4"/>
      <c r="L47" s="2" t="str">
        <f t="shared" si="2"/>
        <v/>
      </c>
      <c r="M47" s="2" t="str">
        <f t="shared" si="3"/>
        <v/>
      </c>
      <c r="N47" s="4"/>
      <c r="O47" s="4"/>
      <c r="P47" s="4"/>
      <c r="Q47" s="4"/>
      <c r="R47" s="4"/>
      <c r="S47" s="16"/>
      <c r="T47" s="4"/>
    </row>
    <row r="48" spans="2:20" ht="14.4" x14ac:dyDescent="0.3">
      <c r="B48" s="4"/>
      <c r="C48" s="16"/>
      <c r="D48" s="4"/>
      <c r="E48" s="4"/>
      <c r="F48" s="4"/>
      <c r="G48" s="4"/>
      <c r="H48" s="4"/>
      <c r="I48" s="4"/>
      <c r="J48" s="4"/>
      <c r="K48" s="4"/>
      <c r="L48" s="2" t="str">
        <f t="shared" si="2"/>
        <v/>
      </c>
      <c r="M48" s="2" t="str">
        <f t="shared" si="3"/>
        <v/>
      </c>
      <c r="N48" s="4"/>
      <c r="O48" s="4"/>
      <c r="P48" s="4"/>
      <c r="Q48" s="4"/>
      <c r="R48" s="4"/>
      <c r="S48" s="16"/>
      <c r="T48" s="4"/>
    </row>
    <row r="49" spans="2:20" ht="14.4" x14ac:dyDescent="0.3">
      <c r="B49" s="4"/>
      <c r="C49" s="16"/>
      <c r="D49" s="4"/>
      <c r="E49" s="4"/>
      <c r="F49" s="4"/>
      <c r="G49" s="4"/>
      <c r="H49" s="4"/>
      <c r="I49" s="4"/>
      <c r="J49" s="4"/>
      <c r="K49" s="4"/>
      <c r="L49" s="2" t="str">
        <f t="shared" si="2"/>
        <v/>
      </c>
      <c r="M49" s="2" t="str">
        <f t="shared" si="3"/>
        <v/>
      </c>
      <c r="N49" s="4"/>
      <c r="O49" s="4"/>
      <c r="P49" s="4"/>
      <c r="Q49" s="4"/>
      <c r="R49" s="4"/>
      <c r="S49" s="16"/>
      <c r="T49" s="4"/>
    </row>
    <row r="50" spans="2:20" ht="14.4" x14ac:dyDescent="0.3">
      <c r="B50" s="4"/>
      <c r="C50" s="16"/>
      <c r="D50" s="4"/>
      <c r="E50" s="4"/>
      <c r="F50" s="4"/>
      <c r="G50" s="4"/>
      <c r="H50" s="4"/>
      <c r="I50" s="4"/>
      <c r="J50" s="4"/>
      <c r="K50" s="4"/>
      <c r="L50" s="2" t="str">
        <f t="shared" si="2"/>
        <v/>
      </c>
      <c r="M50" s="2" t="str">
        <f t="shared" si="3"/>
        <v/>
      </c>
      <c r="N50" s="4"/>
      <c r="O50" s="4"/>
      <c r="P50" s="4"/>
      <c r="Q50" s="4"/>
      <c r="R50" s="4"/>
      <c r="S50" s="16"/>
      <c r="T50" s="4"/>
    </row>
    <row r="51" spans="2:20" ht="14.4" x14ac:dyDescent="0.3">
      <c r="B51" s="4"/>
      <c r="C51" s="16"/>
      <c r="D51" s="4"/>
      <c r="E51" s="4"/>
      <c r="F51" s="4"/>
      <c r="G51" s="4"/>
      <c r="H51" s="4"/>
      <c r="I51" s="4"/>
      <c r="J51" s="4"/>
      <c r="K51" s="4"/>
      <c r="L51" s="2" t="str">
        <f t="shared" si="2"/>
        <v/>
      </c>
      <c r="M51" s="2" t="str">
        <f t="shared" si="3"/>
        <v/>
      </c>
      <c r="N51" s="4"/>
      <c r="O51" s="4"/>
      <c r="P51" s="4"/>
      <c r="Q51" s="4"/>
      <c r="R51" s="4"/>
      <c r="S51" s="16"/>
      <c r="T51" s="4"/>
    </row>
    <row r="52" spans="2:20" ht="14.4" x14ac:dyDescent="0.3">
      <c r="B52" s="4"/>
      <c r="C52" s="16"/>
      <c r="D52" s="4"/>
      <c r="E52" s="4"/>
      <c r="F52" s="4"/>
      <c r="G52" s="4"/>
      <c r="H52" s="4"/>
      <c r="I52" s="4"/>
      <c r="J52" s="4"/>
      <c r="K52" s="4"/>
      <c r="L52" s="2" t="str">
        <f t="shared" si="2"/>
        <v/>
      </c>
      <c r="M52" s="2" t="str">
        <f t="shared" si="3"/>
        <v/>
      </c>
      <c r="N52" s="4"/>
      <c r="O52" s="4"/>
      <c r="P52" s="4"/>
      <c r="Q52" s="4"/>
      <c r="R52" s="4"/>
      <c r="S52" s="16"/>
      <c r="T52" s="4"/>
    </row>
    <row r="53" spans="2:20" ht="14.4" x14ac:dyDescent="0.3">
      <c r="B53" s="4"/>
      <c r="C53" s="16"/>
      <c r="D53" s="4"/>
      <c r="E53" s="4"/>
      <c r="F53" s="4"/>
      <c r="G53" s="4"/>
      <c r="H53" s="4"/>
      <c r="I53" s="4"/>
      <c r="J53" s="4"/>
      <c r="K53" s="4"/>
      <c r="L53" s="2" t="str">
        <f t="shared" si="2"/>
        <v/>
      </c>
      <c r="M53" s="2" t="str">
        <f t="shared" si="3"/>
        <v/>
      </c>
      <c r="N53" s="4"/>
      <c r="O53" s="4"/>
      <c r="P53" s="4"/>
      <c r="Q53" s="4"/>
      <c r="R53" s="4"/>
      <c r="S53" s="16"/>
      <c r="T53" s="4"/>
    </row>
    <row r="54" spans="2:20" ht="14.4" x14ac:dyDescent="0.3">
      <c r="B54" s="4"/>
      <c r="C54" s="16"/>
      <c r="D54" s="4"/>
      <c r="E54" s="4"/>
      <c r="F54" s="4"/>
      <c r="G54" s="4"/>
      <c r="H54" s="4"/>
      <c r="I54" s="4"/>
      <c r="J54" s="4"/>
      <c r="K54" s="4"/>
      <c r="L54" s="2" t="str">
        <f t="shared" si="2"/>
        <v/>
      </c>
      <c r="M54" s="2" t="str">
        <f t="shared" si="3"/>
        <v/>
      </c>
      <c r="N54" s="4"/>
      <c r="O54" s="4"/>
      <c r="P54" s="4"/>
      <c r="Q54" s="4"/>
      <c r="R54" s="4"/>
      <c r="S54" s="16"/>
      <c r="T54" s="4"/>
    </row>
    <row r="55" spans="2:20" ht="14.4" x14ac:dyDescent="0.3">
      <c r="B55" s="4"/>
      <c r="C55" s="16"/>
      <c r="D55" s="4"/>
      <c r="E55" s="4"/>
      <c r="F55" s="4"/>
      <c r="G55" s="4"/>
      <c r="H55" s="4"/>
      <c r="I55" s="4"/>
      <c r="J55" s="4"/>
      <c r="K55" s="4"/>
      <c r="L55" s="2" t="str">
        <f t="shared" si="2"/>
        <v/>
      </c>
      <c r="M55" s="2" t="str">
        <f t="shared" si="3"/>
        <v/>
      </c>
      <c r="N55" s="4"/>
      <c r="O55" s="4"/>
      <c r="P55" s="4"/>
      <c r="Q55" s="4"/>
      <c r="R55" s="4"/>
      <c r="S55" s="16"/>
      <c r="T55" s="4"/>
    </row>
    <row r="56" spans="2:20" ht="14.4" x14ac:dyDescent="0.3">
      <c r="B56" s="4"/>
      <c r="C56" s="16"/>
      <c r="D56" s="4"/>
      <c r="E56" s="4"/>
      <c r="F56" s="4"/>
      <c r="G56" s="4"/>
      <c r="H56" s="4"/>
      <c r="I56" s="4"/>
      <c r="J56" s="4"/>
      <c r="K56" s="4"/>
      <c r="L56" s="2" t="str">
        <f t="shared" si="2"/>
        <v/>
      </c>
      <c r="M56" s="2" t="str">
        <f t="shared" si="3"/>
        <v/>
      </c>
      <c r="N56" s="4"/>
      <c r="O56" s="4"/>
      <c r="P56" s="4"/>
      <c r="Q56" s="4"/>
      <c r="R56" s="4"/>
      <c r="S56" s="16"/>
      <c r="T56" s="4"/>
    </row>
    <row r="57" spans="2:20" ht="14.4" x14ac:dyDescent="0.3">
      <c r="B57" s="4"/>
      <c r="C57" s="16"/>
      <c r="D57" s="4"/>
      <c r="E57" s="4"/>
      <c r="F57" s="4"/>
      <c r="G57" s="4"/>
      <c r="H57" s="4"/>
      <c r="I57" s="4"/>
      <c r="J57" s="4"/>
      <c r="K57" s="4"/>
      <c r="L57" s="2" t="str">
        <f t="shared" si="2"/>
        <v/>
      </c>
      <c r="M57" s="2" t="str">
        <f t="shared" si="3"/>
        <v/>
      </c>
      <c r="N57" s="4"/>
      <c r="O57" s="4"/>
      <c r="P57" s="4"/>
      <c r="Q57" s="4"/>
      <c r="R57" s="4"/>
      <c r="S57" s="16"/>
      <c r="T57" s="4"/>
    </row>
    <row r="58" spans="2:20" ht="14.4" x14ac:dyDescent="0.3">
      <c r="B58" s="4"/>
      <c r="C58" s="16"/>
      <c r="D58" s="4"/>
      <c r="E58" s="4"/>
      <c r="F58" s="4"/>
      <c r="G58" s="4"/>
      <c r="H58" s="4"/>
      <c r="I58" s="4"/>
      <c r="J58" s="4"/>
      <c r="K58" s="4"/>
      <c r="L58" s="2" t="str">
        <f t="shared" si="2"/>
        <v/>
      </c>
      <c r="M58" s="2" t="str">
        <f t="shared" si="3"/>
        <v/>
      </c>
      <c r="N58" s="4"/>
      <c r="O58" s="4"/>
      <c r="P58" s="4"/>
      <c r="Q58" s="4"/>
      <c r="R58" s="4"/>
      <c r="S58" s="16"/>
      <c r="T58" s="4"/>
    </row>
    <row r="59" spans="2:20" ht="14.4" x14ac:dyDescent="0.3">
      <c r="B59" s="4"/>
      <c r="C59" s="16"/>
      <c r="D59" s="4"/>
      <c r="E59" s="4"/>
      <c r="F59" s="4"/>
      <c r="G59" s="4"/>
      <c r="H59" s="4"/>
      <c r="I59" s="4"/>
      <c r="J59" s="4"/>
      <c r="K59" s="4"/>
      <c r="L59" s="2" t="str">
        <f t="shared" si="2"/>
        <v/>
      </c>
      <c r="M59" s="2" t="str">
        <f t="shared" si="3"/>
        <v/>
      </c>
      <c r="N59" s="4"/>
      <c r="O59" s="4"/>
      <c r="P59" s="4"/>
      <c r="Q59" s="4"/>
      <c r="R59" s="4"/>
      <c r="S59" s="16"/>
      <c r="T59" s="4"/>
    </row>
    <row r="60" spans="2:20" ht="14.4" x14ac:dyDescent="0.3">
      <c r="B60" s="4"/>
      <c r="C60" s="16"/>
      <c r="D60" s="4"/>
      <c r="E60" s="4"/>
      <c r="F60" s="4"/>
      <c r="G60" s="4"/>
      <c r="H60" s="4"/>
      <c r="I60" s="4"/>
      <c r="J60" s="4"/>
      <c r="K60" s="4"/>
      <c r="L60" s="2" t="str">
        <f t="shared" si="2"/>
        <v/>
      </c>
      <c r="M60" s="2" t="str">
        <f t="shared" si="3"/>
        <v/>
      </c>
      <c r="N60" s="4"/>
      <c r="O60" s="4"/>
      <c r="P60" s="4"/>
      <c r="Q60" s="4"/>
      <c r="R60" s="4"/>
      <c r="S60" s="16"/>
      <c r="T60" s="4"/>
    </row>
    <row r="61" spans="2:20" ht="14.4" x14ac:dyDescent="0.3">
      <c r="B61" s="4"/>
      <c r="C61" s="16"/>
      <c r="D61" s="4"/>
      <c r="E61" s="4"/>
      <c r="F61" s="4"/>
      <c r="G61" s="4"/>
      <c r="H61" s="4"/>
      <c r="I61" s="4"/>
      <c r="J61" s="4"/>
      <c r="K61" s="4"/>
      <c r="L61" s="2" t="str">
        <f t="shared" si="2"/>
        <v/>
      </c>
      <c r="M61" s="2" t="str">
        <f t="shared" si="3"/>
        <v/>
      </c>
      <c r="N61" s="4"/>
      <c r="O61" s="4"/>
      <c r="P61" s="4"/>
      <c r="Q61" s="4"/>
      <c r="R61" s="4"/>
      <c r="S61" s="16"/>
      <c r="T61" s="4"/>
    </row>
    <row r="62" spans="2:20" ht="14.4" x14ac:dyDescent="0.3">
      <c r="B62" s="4"/>
      <c r="C62" s="16"/>
      <c r="D62" s="4"/>
      <c r="E62" s="4"/>
      <c r="F62" s="4"/>
      <c r="G62" s="4"/>
      <c r="H62" s="4"/>
      <c r="I62" s="4"/>
      <c r="J62" s="4"/>
      <c r="K62" s="4"/>
      <c r="L62" s="2" t="str">
        <f t="shared" si="2"/>
        <v/>
      </c>
      <c r="M62" s="2" t="str">
        <f t="shared" si="3"/>
        <v/>
      </c>
      <c r="N62" s="4"/>
      <c r="O62" s="4"/>
      <c r="P62" s="4"/>
      <c r="Q62" s="4"/>
      <c r="R62" s="4"/>
      <c r="S62" s="16"/>
      <c r="T62" s="4"/>
    </row>
    <row r="63" spans="2:20" ht="14.4" x14ac:dyDescent="0.3">
      <c r="B63" s="4"/>
      <c r="C63" s="16"/>
      <c r="D63" s="4"/>
      <c r="E63" s="4"/>
      <c r="F63" s="4"/>
      <c r="G63" s="4"/>
      <c r="H63" s="4"/>
      <c r="I63" s="4"/>
      <c r="J63" s="4"/>
      <c r="K63" s="4"/>
      <c r="L63" s="2" t="str">
        <f t="shared" si="2"/>
        <v/>
      </c>
      <c r="M63" s="2" t="str">
        <f t="shared" si="3"/>
        <v/>
      </c>
      <c r="N63" s="4"/>
      <c r="O63" s="4"/>
      <c r="P63" s="4"/>
      <c r="Q63" s="4"/>
      <c r="R63" s="4"/>
      <c r="S63" s="16"/>
      <c r="T63" s="4"/>
    </row>
    <row r="64" spans="2:20" ht="14.4" x14ac:dyDescent="0.3">
      <c r="B64" s="4"/>
      <c r="C64" s="16"/>
      <c r="D64" s="4"/>
      <c r="E64" s="4"/>
      <c r="F64" s="4"/>
      <c r="G64" s="4"/>
      <c r="H64" s="4"/>
      <c r="I64" s="4"/>
      <c r="J64" s="4"/>
      <c r="K64" s="4"/>
      <c r="L64" s="2" t="str">
        <f t="shared" si="2"/>
        <v/>
      </c>
      <c r="M64" s="2" t="str">
        <f t="shared" si="3"/>
        <v/>
      </c>
      <c r="N64" s="4"/>
      <c r="O64" s="4"/>
      <c r="P64" s="4"/>
      <c r="Q64" s="4"/>
      <c r="R64" s="4"/>
      <c r="S64" s="16"/>
      <c r="T64" s="4"/>
    </row>
    <row r="65" spans="2:20" ht="14.4" x14ac:dyDescent="0.3">
      <c r="B65" s="4"/>
      <c r="C65" s="16"/>
      <c r="D65" s="4"/>
      <c r="E65" s="4"/>
      <c r="F65" s="4"/>
      <c r="G65" s="4"/>
      <c r="H65" s="4"/>
      <c r="I65" s="4"/>
      <c r="J65" s="4"/>
      <c r="K65" s="4"/>
      <c r="L65" s="2" t="str">
        <f t="shared" si="2"/>
        <v/>
      </c>
      <c r="M65" s="2" t="str">
        <f t="shared" si="3"/>
        <v/>
      </c>
      <c r="N65" s="4"/>
      <c r="O65" s="4"/>
      <c r="P65" s="4"/>
      <c r="Q65" s="4"/>
      <c r="R65" s="4"/>
      <c r="S65" s="16"/>
      <c r="T65" s="4"/>
    </row>
    <row r="66" spans="2:20" ht="14.4" x14ac:dyDescent="0.3">
      <c r="B66" s="4"/>
      <c r="C66" s="16"/>
      <c r="D66" s="4"/>
      <c r="E66" s="4"/>
      <c r="F66" s="4"/>
      <c r="G66" s="4"/>
      <c r="H66" s="4"/>
      <c r="I66" s="4"/>
      <c r="J66" s="4"/>
      <c r="K66" s="4"/>
      <c r="L66" s="2" t="str">
        <f t="shared" si="2"/>
        <v/>
      </c>
      <c r="M66" s="2" t="str">
        <f t="shared" si="3"/>
        <v/>
      </c>
      <c r="N66" s="4"/>
      <c r="O66" s="4"/>
      <c r="P66" s="4"/>
      <c r="Q66" s="4"/>
      <c r="R66" s="4"/>
      <c r="S66" s="16"/>
      <c r="T66" s="4"/>
    </row>
    <row r="67" spans="2:20" ht="14.4" x14ac:dyDescent="0.3">
      <c r="B67" s="4"/>
      <c r="C67" s="16"/>
      <c r="D67" s="4"/>
      <c r="E67" s="4"/>
      <c r="F67" s="4"/>
      <c r="G67" s="4"/>
      <c r="H67" s="4"/>
      <c r="I67" s="4"/>
      <c r="J67" s="4"/>
      <c r="K67" s="4"/>
      <c r="L67" s="2" t="str">
        <f t="shared" si="2"/>
        <v/>
      </c>
      <c r="M67" s="2" t="str">
        <f t="shared" si="3"/>
        <v/>
      </c>
      <c r="N67" s="4"/>
      <c r="O67" s="4"/>
      <c r="P67" s="4"/>
      <c r="Q67" s="4"/>
      <c r="R67" s="4"/>
      <c r="S67" s="16"/>
      <c r="T67" s="4"/>
    </row>
    <row r="68" spans="2:20" ht="14.4" x14ac:dyDescent="0.3">
      <c r="B68" s="4"/>
      <c r="C68" s="16"/>
      <c r="D68" s="4"/>
      <c r="E68" s="4"/>
      <c r="F68" s="4"/>
      <c r="G68" s="4"/>
      <c r="H68" s="4"/>
      <c r="I68" s="4"/>
      <c r="J68" s="4"/>
      <c r="K68" s="4"/>
      <c r="L68" s="2" t="str">
        <f t="shared" si="2"/>
        <v/>
      </c>
      <c r="M68" s="2" t="str">
        <f t="shared" si="3"/>
        <v/>
      </c>
      <c r="N68" s="4"/>
      <c r="O68" s="4"/>
      <c r="P68" s="4"/>
      <c r="Q68" s="4"/>
      <c r="R68" s="4"/>
      <c r="S68" s="16"/>
      <c r="T68" s="4"/>
    </row>
    <row r="69" spans="2:20" ht="14.4" x14ac:dyDescent="0.3">
      <c r="B69" s="4"/>
      <c r="C69" s="16"/>
      <c r="D69" s="4"/>
      <c r="E69" s="4"/>
      <c r="F69" s="4"/>
      <c r="G69" s="4"/>
      <c r="H69" s="4"/>
      <c r="I69" s="4"/>
      <c r="J69" s="4"/>
      <c r="K69" s="4"/>
      <c r="L69" s="2" t="str">
        <f t="shared" ref="L69:L100" si="4">IF(E69="","",IF(OR(E69="Medical Treatment (MTC)",E69="Restricted Work (RWC)",E69="Lost Time Injury (LTI)",E69="Recordable Case",E69="Fatality"),"Y",IF(L69="Y","Y","N")))</f>
        <v/>
      </c>
      <c r="M69" s="2" t="str">
        <f t="shared" ref="M69:M100" si="5">IF(E69="","",IF(OR(E69="Lost Time Injury (LTI)",E69="Fatality"),"Y","N"))</f>
        <v/>
      </c>
      <c r="N69" s="4"/>
      <c r="O69" s="4"/>
      <c r="P69" s="4"/>
      <c r="Q69" s="4"/>
      <c r="R69" s="4"/>
      <c r="S69" s="16"/>
      <c r="T69" s="4"/>
    </row>
    <row r="70" spans="2:20" ht="14.4" x14ac:dyDescent="0.3">
      <c r="B70" s="4"/>
      <c r="C70" s="16"/>
      <c r="D70" s="4"/>
      <c r="E70" s="4"/>
      <c r="F70" s="4"/>
      <c r="G70" s="4"/>
      <c r="H70" s="4"/>
      <c r="I70" s="4"/>
      <c r="J70" s="4"/>
      <c r="K70" s="4"/>
      <c r="L70" s="2" t="str">
        <f t="shared" si="4"/>
        <v/>
      </c>
      <c r="M70" s="2" t="str">
        <f t="shared" si="5"/>
        <v/>
      </c>
      <c r="N70" s="4"/>
      <c r="O70" s="4"/>
      <c r="P70" s="4"/>
      <c r="Q70" s="4"/>
      <c r="R70" s="4"/>
      <c r="S70" s="16"/>
      <c r="T70" s="4"/>
    </row>
    <row r="71" spans="2:20" ht="14.4" x14ac:dyDescent="0.3">
      <c r="B71" s="4"/>
      <c r="C71" s="16"/>
      <c r="D71" s="4"/>
      <c r="E71" s="4"/>
      <c r="F71" s="4"/>
      <c r="G71" s="4"/>
      <c r="H71" s="4"/>
      <c r="I71" s="4"/>
      <c r="J71" s="4"/>
      <c r="K71" s="4"/>
      <c r="L71" s="2" t="str">
        <f t="shared" si="4"/>
        <v/>
      </c>
      <c r="M71" s="2" t="str">
        <f t="shared" si="5"/>
        <v/>
      </c>
      <c r="N71" s="4"/>
      <c r="O71" s="4"/>
      <c r="P71" s="4"/>
      <c r="Q71" s="4"/>
      <c r="R71" s="4"/>
      <c r="S71" s="16"/>
      <c r="T71" s="4"/>
    </row>
    <row r="72" spans="2:20" ht="14.4" x14ac:dyDescent="0.3">
      <c r="B72" s="4"/>
      <c r="C72" s="16"/>
      <c r="D72" s="4"/>
      <c r="E72" s="4"/>
      <c r="F72" s="4"/>
      <c r="G72" s="4"/>
      <c r="H72" s="4"/>
      <c r="I72" s="4"/>
      <c r="J72" s="4"/>
      <c r="K72" s="4"/>
      <c r="L72" s="2" t="str">
        <f t="shared" si="4"/>
        <v/>
      </c>
      <c r="M72" s="2" t="str">
        <f t="shared" si="5"/>
        <v/>
      </c>
      <c r="N72" s="4"/>
      <c r="O72" s="4"/>
      <c r="P72" s="4"/>
      <c r="Q72" s="4"/>
      <c r="R72" s="4"/>
      <c r="S72" s="16"/>
      <c r="T72" s="4"/>
    </row>
    <row r="73" spans="2:20" ht="14.4" x14ac:dyDescent="0.3">
      <c r="B73" s="4"/>
      <c r="C73" s="16"/>
      <c r="D73" s="4"/>
      <c r="E73" s="4"/>
      <c r="F73" s="4"/>
      <c r="G73" s="4"/>
      <c r="H73" s="4"/>
      <c r="I73" s="4"/>
      <c r="J73" s="4"/>
      <c r="K73" s="4"/>
      <c r="L73" s="2" t="str">
        <f t="shared" si="4"/>
        <v/>
      </c>
      <c r="M73" s="2" t="str">
        <f t="shared" si="5"/>
        <v/>
      </c>
      <c r="N73" s="4"/>
      <c r="O73" s="4"/>
      <c r="P73" s="4"/>
      <c r="Q73" s="4"/>
      <c r="R73" s="4"/>
      <c r="S73" s="16"/>
      <c r="T73" s="4"/>
    </row>
    <row r="74" spans="2:20" ht="14.4" x14ac:dyDescent="0.3">
      <c r="B74" s="4"/>
      <c r="C74" s="16"/>
      <c r="D74" s="4"/>
      <c r="E74" s="4"/>
      <c r="F74" s="4"/>
      <c r="G74" s="4"/>
      <c r="H74" s="4"/>
      <c r="I74" s="4"/>
      <c r="J74" s="4"/>
      <c r="K74" s="4"/>
      <c r="L74" s="2" t="str">
        <f t="shared" si="4"/>
        <v/>
      </c>
      <c r="M74" s="2" t="str">
        <f t="shared" si="5"/>
        <v/>
      </c>
      <c r="N74" s="4"/>
      <c r="O74" s="4"/>
      <c r="P74" s="4"/>
      <c r="Q74" s="4"/>
      <c r="R74" s="4"/>
      <c r="S74" s="16"/>
      <c r="T74" s="4"/>
    </row>
    <row r="75" spans="2:20" ht="14.4" x14ac:dyDescent="0.3">
      <c r="B75" s="4"/>
      <c r="C75" s="16"/>
      <c r="D75" s="4"/>
      <c r="E75" s="4"/>
      <c r="F75" s="4"/>
      <c r="G75" s="4"/>
      <c r="H75" s="4"/>
      <c r="I75" s="4"/>
      <c r="J75" s="4"/>
      <c r="K75" s="4"/>
      <c r="L75" s="2" t="str">
        <f t="shared" si="4"/>
        <v/>
      </c>
      <c r="M75" s="2" t="str">
        <f t="shared" si="5"/>
        <v/>
      </c>
      <c r="N75" s="4"/>
      <c r="O75" s="4"/>
      <c r="P75" s="4"/>
      <c r="Q75" s="4"/>
      <c r="R75" s="4"/>
      <c r="S75" s="16"/>
      <c r="T75" s="4"/>
    </row>
    <row r="76" spans="2:20" ht="14.4" x14ac:dyDescent="0.3">
      <c r="B76" s="4"/>
      <c r="C76" s="16"/>
      <c r="D76" s="4"/>
      <c r="E76" s="4"/>
      <c r="F76" s="4"/>
      <c r="G76" s="4"/>
      <c r="H76" s="4"/>
      <c r="I76" s="4"/>
      <c r="J76" s="4"/>
      <c r="K76" s="4"/>
      <c r="L76" s="2" t="str">
        <f t="shared" si="4"/>
        <v/>
      </c>
      <c r="M76" s="2" t="str">
        <f t="shared" si="5"/>
        <v/>
      </c>
      <c r="N76" s="4"/>
      <c r="O76" s="4"/>
      <c r="P76" s="4"/>
      <c r="Q76" s="4"/>
      <c r="R76" s="4"/>
      <c r="S76" s="16"/>
      <c r="T76" s="4"/>
    </row>
    <row r="77" spans="2:20" ht="14.4" x14ac:dyDescent="0.3">
      <c r="B77" s="4"/>
      <c r="C77" s="16"/>
      <c r="D77" s="4"/>
      <c r="E77" s="4"/>
      <c r="F77" s="4"/>
      <c r="G77" s="4"/>
      <c r="H77" s="4"/>
      <c r="I77" s="4"/>
      <c r="J77" s="4"/>
      <c r="K77" s="4"/>
      <c r="L77" s="2" t="str">
        <f t="shared" si="4"/>
        <v/>
      </c>
      <c r="M77" s="2" t="str">
        <f t="shared" si="5"/>
        <v/>
      </c>
      <c r="N77" s="4"/>
      <c r="O77" s="4"/>
      <c r="P77" s="4"/>
      <c r="Q77" s="4"/>
      <c r="R77" s="4"/>
      <c r="S77" s="16"/>
      <c r="T77" s="4"/>
    </row>
    <row r="78" spans="2:20" ht="14.4" x14ac:dyDescent="0.3">
      <c r="B78" s="4"/>
      <c r="C78" s="16"/>
      <c r="D78" s="4"/>
      <c r="E78" s="4"/>
      <c r="F78" s="4"/>
      <c r="G78" s="4"/>
      <c r="H78" s="4"/>
      <c r="I78" s="4"/>
      <c r="J78" s="4"/>
      <c r="K78" s="4"/>
      <c r="L78" s="2" t="str">
        <f t="shared" si="4"/>
        <v/>
      </c>
      <c r="M78" s="2" t="str">
        <f t="shared" si="5"/>
        <v/>
      </c>
      <c r="N78" s="4"/>
      <c r="O78" s="4"/>
      <c r="P78" s="4"/>
      <c r="Q78" s="4"/>
      <c r="R78" s="4"/>
      <c r="S78" s="16"/>
      <c r="T78" s="4"/>
    </row>
    <row r="79" spans="2:20" ht="14.4" x14ac:dyDescent="0.3">
      <c r="B79" s="4"/>
      <c r="C79" s="16"/>
      <c r="D79" s="4"/>
      <c r="E79" s="4"/>
      <c r="F79" s="4"/>
      <c r="G79" s="4"/>
      <c r="H79" s="4"/>
      <c r="I79" s="4"/>
      <c r="J79" s="4"/>
      <c r="K79" s="4"/>
      <c r="L79" s="2" t="str">
        <f t="shared" si="4"/>
        <v/>
      </c>
      <c r="M79" s="2" t="str">
        <f t="shared" si="5"/>
        <v/>
      </c>
      <c r="N79" s="4"/>
      <c r="O79" s="4"/>
      <c r="P79" s="4"/>
      <c r="Q79" s="4"/>
      <c r="R79" s="4"/>
      <c r="S79" s="16"/>
      <c r="T79" s="4"/>
    </row>
    <row r="80" spans="2:20" ht="14.4" x14ac:dyDescent="0.3">
      <c r="B80" s="4"/>
      <c r="C80" s="16"/>
      <c r="D80" s="4"/>
      <c r="E80" s="4"/>
      <c r="F80" s="4"/>
      <c r="G80" s="4"/>
      <c r="H80" s="4"/>
      <c r="I80" s="4"/>
      <c r="J80" s="4"/>
      <c r="K80" s="4"/>
      <c r="L80" s="2" t="str">
        <f t="shared" si="4"/>
        <v/>
      </c>
      <c r="M80" s="2" t="str">
        <f t="shared" si="5"/>
        <v/>
      </c>
      <c r="N80" s="4"/>
      <c r="O80" s="4"/>
      <c r="P80" s="4"/>
      <c r="Q80" s="4"/>
      <c r="R80" s="4"/>
      <c r="S80" s="16"/>
      <c r="T80" s="4"/>
    </row>
    <row r="81" spans="2:20" ht="14.4" x14ac:dyDescent="0.3">
      <c r="B81" s="4"/>
      <c r="C81" s="16"/>
      <c r="D81" s="4"/>
      <c r="E81" s="4"/>
      <c r="F81" s="4"/>
      <c r="G81" s="4"/>
      <c r="H81" s="4"/>
      <c r="I81" s="4"/>
      <c r="J81" s="4"/>
      <c r="K81" s="4"/>
      <c r="L81" s="2" t="str">
        <f t="shared" si="4"/>
        <v/>
      </c>
      <c r="M81" s="2" t="str">
        <f t="shared" si="5"/>
        <v/>
      </c>
      <c r="N81" s="4"/>
      <c r="O81" s="4"/>
      <c r="P81" s="4"/>
      <c r="Q81" s="4"/>
      <c r="R81" s="4"/>
      <c r="S81" s="16"/>
      <c r="T81" s="4"/>
    </row>
    <row r="82" spans="2:20" ht="14.4" x14ac:dyDescent="0.3">
      <c r="B82" s="4"/>
      <c r="C82" s="16"/>
      <c r="D82" s="4"/>
      <c r="E82" s="4"/>
      <c r="F82" s="4"/>
      <c r="G82" s="4"/>
      <c r="H82" s="4"/>
      <c r="I82" s="4"/>
      <c r="J82" s="4"/>
      <c r="K82" s="4"/>
      <c r="L82" s="2" t="str">
        <f t="shared" si="4"/>
        <v/>
      </c>
      <c r="M82" s="2" t="str">
        <f t="shared" si="5"/>
        <v/>
      </c>
      <c r="N82" s="4"/>
      <c r="O82" s="4"/>
      <c r="P82" s="4"/>
      <c r="Q82" s="4"/>
      <c r="R82" s="4"/>
      <c r="S82" s="16"/>
      <c r="T82" s="4"/>
    </row>
    <row r="83" spans="2:20" ht="14.4" x14ac:dyDescent="0.3">
      <c r="B83" s="4"/>
      <c r="C83" s="16"/>
      <c r="D83" s="4"/>
      <c r="E83" s="4"/>
      <c r="F83" s="4"/>
      <c r="G83" s="4"/>
      <c r="H83" s="4"/>
      <c r="I83" s="4"/>
      <c r="J83" s="4"/>
      <c r="K83" s="4"/>
      <c r="L83" s="2" t="str">
        <f t="shared" si="4"/>
        <v/>
      </c>
      <c r="M83" s="2" t="str">
        <f t="shared" si="5"/>
        <v/>
      </c>
      <c r="N83" s="4"/>
      <c r="O83" s="4"/>
      <c r="P83" s="4"/>
      <c r="Q83" s="4"/>
      <c r="R83" s="4"/>
      <c r="S83" s="16"/>
      <c r="T83" s="4"/>
    </row>
    <row r="84" spans="2:20" ht="14.4" x14ac:dyDescent="0.3">
      <c r="B84" s="4"/>
      <c r="C84" s="16"/>
      <c r="D84" s="4"/>
      <c r="E84" s="4"/>
      <c r="F84" s="4"/>
      <c r="G84" s="4"/>
      <c r="H84" s="4"/>
      <c r="I84" s="4"/>
      <c r="J84" s="4"/>
      <c r="K84" s="4"/>
      <c r="L84" s="2" t="str">
        <f t="shared" si="4"/>
        <v/>
      </c>
      <c r="M84" s="2" t="str">
        <f t="shared" si="5"/>
        <v/>
      </c>
      <c r="N84" s="4"/>
      <c r="O84" s="4"/>
      <c r="P84" s="4"/>
      <c r="Q84" s="4"/>
      <c r="R84" s="4"/>
      <c r="S84" s="16"/>
      <c r="T84" s="4"/>
    </row>
    <row r="85" spans="2:20" ht="14.4" x14ac:dyDescent="0.3">
      <c r="B85" s="4"/>
      <c r="C85" s="16"/>
      <c r="D85" s="4"/>
      <c r="E85" s="4"/>
      <c r="F85" s="4"/>
      <c r="G85" s="4"/>
      <c r="H85" s="4"/>
      <c r="I85" s="4"/>
      <c r="J85" s="4"/>
      <c r="K85" s="4"/>
      <c r="L85" s="2" t="str">
        <f t="shared" si="4"/>
        <v/>
      </c>
      <c r="M85" s="2" t="str">
        <f t="shared" si="5"/>
        <v/>
      </c>
      <c r="N85" s="4"/>
      <c r="O85" s="4"/>
      <c r="P85" s="4"/>
      <c r="Q85" s="4"/>
      <c r="R85" s="4"/>
      <c r="S85" s="16"/>
      <c r="T85" s="4"/>
    </row>
    <row r="86" spans="2:20" ht="14.4" x14ac:dyDescent="0.3">
      <c r="B86" s="4"/>
      <c r="C86" s="16"/>
      <c r="D86" s="4"/>
      <c r="E86" s="4"/>
      <c r="F86" s="4"/>
      <c r="G86" s="4"/>
      <c r="H86" s="4"/>
      <c r="I86" s="4"/>
      <c r="J86" s="4"/>
      <c r="K86" s="4"/>
      <c r="L86" s="2" t="str">
        <f t="shared" si="4"/>
        <v/>
      </c>
      <c r="M86" s="2" t="str">
        <f t="shared" si="5"/>
        <v/>
      </c>
      <c r="N86" s="4"/>
      <c r="O86" s="4"/>
      <c r="P86" s="4"/>
      <c r="Q86" s="4"/>
      <c r="R86" s="4"/>
      <c r="S86" s="16"/>
      <c r="T86" s="4"/>
    </row>
    <row r="87" spans="2:20" ht="14.4" x14ac:dyDescent="0.3">
      <c r="B87" s="4"/>
      <c r="C87" s="16"/>
      <c r="D87" s="4"/>
      <c r="E87" s="4"/>
      <c r="F87" s="4"/>
      <c r="G87" s="4"/>
      <c r="H87" s="4"/>
      <c r="I87" s="4"/>
      <c r="J87" s="4"/>
      <c r="K87" s="4"/>
      <c r="L87" s="2" t="str">
        <f t="shared" si="4"/>
        <v/>
      </c>
      <c r="M87" s="2" t="str">
        <f t="shared" si="5"/>
        <v/>
      </c>
      <c r="N87" s="4"/>
      <c r="O87" s="4"/>
      <c r="P87" s="4"/>
      <c r="Q87" s="4"/>
      <c r="R87" s="4"/>
      <c r="S87" s="16"/>
      <c r="T87" s="4"/>
    </row>
    <row r="88" spans="2:20" ht="14.4" x14ac:dyDescent="0.3">
      <c r="B88" s="4"/>
      <c r="C88" s="16"/>
      <c r="D88" s="4"/>
      <c r="E88" s="4"/>
      <c r="F88" s="4"/>
      <c r="G88" s="4"/>
      <c r="H88" s="4"/>
      <c r="I88" s="4"/>
      <c r="J88" s="4"/>
      <c r="K88" s="4"/>
      <c r="L88" s="2" t="str">
        <f t="shared" si="4"/>
        <v/>
      </c>
      <c r="M88" s="2" t="str">
        <f t="shared" si="5"/>
        <v/>
      </c>
      <c r="N88" s="4"/>
      <c r="O88" s="4"/>
      <c r="P88" s="4"/>
      <c r="Q88" s="4"/>
      <c r="R88" s="4"/>
      <c r="S88" s="16"/>
      <c r="T88" s="4"/>
    </row>
    <row r="89" spans="2:20" ht="14.4" x14ac:dyDescent="0.3">
      <c r="B89" s="4"/>
      <c r="C89" s="16"/>
      <c r="D89" s="4"/>
      <c r="E89" s="4"/>
      <c r="F89" s="4"/>
      <c r="G89" s="4"/>
      <c r="H89" s="4"/>
      <c r="I89" s="4"/>
      <c r="J89" s="4"/>
      <c r="K89" s="4"/>
      <c r="L89" s="2" t="str">
        <f t="shared" si="4"/>
        <v/>
      </c>
      <c r="M89" s="2" t="str">
        <f t="shared" si="5"/>
        <v/>
      </c>
      <c r="N89" s="4"/>
      <c r="O89" s="4"/>
      <c r="P89" s="4"/>
      <c r="Q89" s="4"/>
      <c r="R89" s="4"/>
      <c r="S89" s="16"/>
      <c r="T89" s="4"/>
    </row>
    <row r="90" spans="2:20" ht="14.4" x14ac:dyDescent="0.3">
      <c r="B90" s="4"/>
      <c r="C90" s="16"/>
      <c r="D90" s="4"/>
      <c r="E90" s="4"/>
      <c r="F90" s="4"/>
      <c r="G90" s="4"/>
      <c r="H90" s="4"/>
      <c r="I90" s="4"/>
      <c r="J90" s="4"/>
      <c r="K90" s="4"/>
      <c r="L90" s="2" t="str">
        <f t="shared" si="4"/>
        <v/>
      </c>
      <c r="M90" s="2" t="str">
        <f t="shared" si="5"/>
        <v/>
      </c>
      <c r="N90" s="4"/>
      <c r="O90" s="4"/>
      <c r="P90" s="4"/>
      <c r="Q90" s="4"/>
      <c r="R90" s="4"/>
      <c r="S90" s="16"/>
      <c r="T90" s="4"/>
    </row>
    <row r="91" spans="2:20" ht="14.4" x14ac:dyDescent="0.3">
      <c r="B91" s="4"/>
      <c r="C91" s="16"/>
      <c r="D91" s="4"/>
      <c r="E91" s="4"/>
      <c r="F91" s="4"/>
      <c r="G91" s="4"/>
      <c r="H91" s="4"/>
      <c r="I91" s="4"/>
      <c r="J91" s="4"/>
      <c r="K91" s="4"/>
      <c r="L91" s="2" t="str">
        <f t="shared" si="4"/>
        <v/>
      </c>
      <c r="M91" s="2" t="str">
        <f t="shared" si="5"/>
        <v/>
      </c>
      <c r="N91" s="4"/>
      <c r="O91" s="4"/>
      <c r="P91" s="4"/>
      <c r="Q91" s="4"/>
      <c r="R91" s="4"/>
      <c r="S91" s="16"/>
      <c r="T91" s="4"/>
    </row>
    <row r="92" spans="2:20" ht="14.4" x14ac:dyDescent="0.3">
      <c r="B92" s="4"/>
      <c r="C92" s="16"/>
      <c r="D92" s="4"/>
      <c r="E92" s="4"/>
      <c r="F92" s="4"/>
      <c r="G92" s="4"/>
      <c r="H92" s="4"/>
      <c r="I92" s="4"/>
      <c r="J92" s="4"/>
      <c r="K92" s="4"/>
      <c r="L92" s="2" t="str">
        <f t="shared" si="4"/>
        <v/>
      </c>
      <c r="M92" s="2" t="str">
        <f t="shared" si="5"/>
        <v/>
      </c>
      <c r="N92" s="4"/>
      <c r="O92" s="4"/>
      <c r="P92" s="4"/>
      <c r="Q92" s="4"/>
      <c r="R92" s="4"/>
      <c r="S92" s="16"/>
      <c r="T92" s="4"/>
    </row>
    <row r="93" spans="2:20" ht="14.4" x14ac:dyDescent="0.3">
      <c r="B93" s="4"/>
      <c r="C93" s="16"/>
      <c r="D93" s="4"/>
      <c r="E93" s="4"/>
      <c r="F93" s="4"/>
      <c r="G93" s="4"/>
      <c r="H93" s="4"/>
      <c r="I93" s="4"/>
      <c r="J93" s="4"/>
      <c r="K93" s="4"/>
      <c r="L93" s="2" t="str">
        <f t="shared" si="4"/>
        <v/>
      </c>
      <c r="M93" s="2" t="str">
        <f t="shared" si="5"/>
        <v/>
      </c>
      <c r="N93" s="4"/>
      <c r="O93" s="4"/>
      <c r="P93" s="4"/>
      <c r="Q93" s="4"/>
      <c r="R93" s="4"/>
      <c r="S93" s="16"/>
      <c r="T93" s="4"/>
    </row>
    <row r="94" spans="2:20" ht="14.4" x14ac:dyDescent="0.3">
      <c r="B94" s="4"/>
      <c r="C94" s="16"/>
      <c r="D94" s="4"/>
      <c r="E94" s="4"/>
      <c r="F94" s="4"/>
      <c r="G94" s="4"/>
      <c r="H94" s="4"/>
      <c r="I94" s="4"/>
      <c r="J94" s="4"/>
      <c r="K94" s="4"/>
      <c r="L94" s="2" t="str">
        <f t="shared" si="4"/>
        <v/>
      </c>
      <c r="M94" s="2" t="str">
        <f t="shared" si="5"/>
        <v/>
      </c>
      <c r="N94" s="4"/>
      <c r="O94" s="4"/>
      <c r="P94" s="4"/>
      <c r="Q94" s="4"/>
      <c r="R94" s="4"/>
      <c r="S94" s="16"/>
      <c r="T94" s="4"/>
    </row>
    <row r="95" spans="2:20" ht="14.4" x14ac:dyDescent="0.3">
      <c r="B95" s="4"/>
      <c r="C95" s="16"/>
      <c r="D95" s="4"/>
      <c r="E95" s="4"/>
      <c r="F95" s="4"/>
      <c r="G95" s="4"/>
      <c r="H95" s="4"/>
      <c r="I95" s="4"/>
      <c r="J95" s="4"/>
      <c r="K95" s="4"/>
      <c r="L95" s="2" t="str">
        <f t="shared" si="4"/>
        <v/>
      </c>
      <c r="M95" s="2" t="str">
        <f t="shared" si="5"/>
        <v/>
      </c>
      <c r="N95" s="4"/>
      <c r="O95" s="4"/>
      <c r="P95" s="4"/>
      <c r="Q95" s="4"/>
      <c r="R95" s="4"/>
      <c r="S95" s="16"/>
      <c r="T95" s="4"/>
    </row>
    <row r="96" spans="2:20" ht="14.4" x14ac:dyDescent="0.3">
      <c r="B96" s="4"/>
      <c r="C96" s="16"/>
      <c r="D96" s="4"/>
      <c r="E96" s="4"/>
      <c r="F96" s="4"/>
      <c r="G96" s="4"/>
      <c r="H96" s="4"/>
      <c r="I96" s="4"/>
      <c r="J96" s="4"/>
      <c r="K96" s="4"/>
      <c r="L96" s="2" t="str">
        <f t="shared" si="4"/>
        <v/>
      </c>
      <c r="M96" s="2" t="str">
        <f t="shared" si="5"/>
        <v/>
      </c>
      <c r="N96" s="4"/>
      <c r="O96" s="4"/>
      <c r="P96" s="4"/>
      <c r="Q96" s="4"/>
      <c r="R96" s="4"/>
      <c r="S96" s="16"/>
      <c r="T96" s="4"/>
    </row>
    <row r="97" spans="2:20" ht="14.4" x14ac:dyDescent="0.3">
      <c r="B97" s="4"/>
      <c r="C97" s="16"/>
      <c r="D97" s="4"/>
      <c r="E97" s="4"/>
      <c r="F97" s="4"/>
      <c r="G97" s="4"/>
      <c r="H97" s="4"/>
      <c r="I97" s="4"/>
      <c r="J97" s="4"/>
      <c r="K97" s="4"/>
      <c r="L97" s="2" t="str">
        <f t="shared" si="4"/>
        <v/>
      </c>
      <c r="M97" s="2" t="str">
        <f t="shared" si="5"/>
        <v/>
      </c>
      <c r="N97" s="4"/>
      <c r="O97" s="4"/>
      <c r="P97" s="4"/>
      <c r="Q97" s="4"/>
      <c r="R97" s="4"/>
      <c r="S97" s="16"/>
      <c r="T97" s="4"/>
    </row>
    <row r="98" spans="2:20" ht="14.4" x14ac:dyDescent="0.3">
      <c r="B98" s="4"/>
      <c r="C98" s="16"/>
      <c r="D98" s="4"/>
      <c r="E98" s="4"/>
      <c r="F98" s="4"/>
      <c r="G98" s="4"/>
      <c r="H98" s="4"/>
      <c r="I98" s="4"/>
      <c r="J98" s="4"/>
      <c r="K98" s="4"/>
      <c r="L98" s="2" t="str">
        <f t="shared" si="4"/>
        <v/>
      </c>
      <c r="M98" s="2" t="str">
        <f t="shared" si="5"/>
        <v/>
      </c>
      <c r="N98" s="4"/>
      <c r="O98" s="4"/>
      <c r="P98" s="4"/>
      <c r="Q98" s="4"/>
      <c r="R98" s="4"/>
      <c r="S98" s="16"/>
      <c r="T98" s="4"/>
    </row>
    <row r="99" spans="2:20" ht="14.4" x14ac:dyDescent="0.3">
      <c r="B99" s="4"/>
      <c r="C99" s="16"/>
      <c r="D99" s="4"/>
      <c r="E99" s="4"/>
      <c r="F99" s="4"/>
      <c r="G99" s="4"/>
      <c r="H99" s="4"/>
      <c r="I99" s="4"/>
      <c r="J99" s="4"/>
      <c r="K99" s="4"/>
      <c r="L99" s="2" t="str">
        <f t="shared" si="4"/>
        <v/>
      </c>
      <c r="M99" s="2" t="str">
        <f t="shared" si="5"/>
        <v/>
      </c>
      <c r="N99" s="4"/>
      <c r="O99" s="4"/>
      <c r="P99" s="4"/>
      <c r="Q99" s="4"/>
      <c r="R99" s="4"/>
      <c r="S99" s="16"/>
      <c r="T99" s="4"/>
    </row>
    <row r="100" spans="2:20" ht="14.4" x14ac:dyDescent="0.3">
      <c r="B100" s="4"/>
      <c r="C100" s="16"/>
      <c r="D100" s="4"/>
      <c r="E100" s="4"/>
      <c r="F100" s="4"/>
      <c r="G100" s="4"/>
      <c r="H100" s="4"/>
      <c r="I100" s="4"/>
      <c r="J100" s="4"/>
      <c r="K100" s="4"/>
      <c r="L100" s="2" t="str">
        <f t="shared" si="4"/>
        <v/>
      </c>
      <c r="M100" s="2" t="str">
        <f t="shared" si="5"/>
        <v/>
      </c>
      <c r="N100" s="4"/>
      <c r="O100" s="4"/>
      <c r="P100" s="4"/>
      <c r="Q100" s="4"/>
      <c r="R100" s="4"/>
      <c r="S100" s="16"/>
      <c r="T100" s="4"/>
    </row>
    <row r="101" spans="2:20" ht="14.4" x14ac:dyDescent="0.3">
      <c r="B101" s="4"/>
      <c r="C101" s="16"/>
      <c r="D101" s="4"/>
      <c r="E101" s="4"/>
      <c r="F101" s="4"/>
      <c r="G101" s="4"/>
      <c r="H101" s="4"/>
      <c r="I101" s="4"/>
      <c r="J101" s="4"/>
      <c r="K101" s="4"/>
      <c r="L101" s="2" t="str">
        <f t="shared" ref="L101:L119" si="6">IF(E101="","",IF(OR(E101="Medical Treatment (MTC)",E101="Restricted Work (RWC)",E101="Lost Time Injury (LTI)",E101="Recordable Case",E101="Fatality"),"Y",IF(L101="Y","Y","N")))</f>
        <v/>
      </c>
      <c r="M101" s="2" t="str">
        <f t="shared" ref="M101:M119" si="7">IF(E101="","",IF(OR(E101="Lost Time Injury (LTI)",E101="Fatality"),"Y","N"))</f>
        <v/>
      </c>
      <c r="N101" s="4"/>
      <c r="O101" s="4"/>
      <c r="P101" s="4"/>
      <c r="Q101" s="4"/>
      <c r="R101" s="4"/>
      <c r="S101" s="16"/>
      <c r="T101" s="4"/>
    </row>
    <row r="102" spans="2:20" ht="14.4" x14ac:dyDescent="0.3">
      <c r="B102" s="4"/>
      <c r="C102" s="16"/>
      <c r="D102" s="4"/>
      <c r="E102" s="4"/>
      <c r="F102" s="4"/>
      <c r="G102" s="4"/>
      <c r="H102" s="4"/>
      <c r="I102" s="4"/>
      <c r="J102" s="4"/>
      <c r="K102" s="4"/>
      <c r="L102" s="2" t="str">
        <f t="shared" si="6"/>
        <v/>
      </c>
      <c r="M102" s="2" t="str">
        <f t="shared" si="7"/>
        <v/>
      </c>
      <c r="N102" s="4"/>
      <c r="O102" s="4"/>
      <c r="P102" s="4"/>
      <c r="Q102" s="4"/>
      <c r="R102" s="4"/>
      <c r="S102" s="16"/>
      <c r="T102" s="4"/>
    </row>
    <row r="103" spans="2:20" ht="14.4" x14ac:dyDescent="0.3">
      <c r="B103" s="4"/>
      <c r="C103" s="16"/>
      <c r="D103" s="4"/>
      <c r="E103" s="4"/>
      <c r="F103" s="4"/>
      <c r="G103" s="4"/>
      <c r="H103" s="4"/>
      <c r="I103" s="4"/>
      <c r="J103" s="4"/>
      <c r="K103" s="4"/>
      <c r="L103" s="2" t="str">
        <f t="shared" si="6"/>
        <v/>
      </c>
      <c r="M103" s="2" t="str">
        <f t="shared" si="7"/>
        <v/>
      </c>
      <c r="N103" s="4"/>
      <c r="O103" s="4"/>
      <c r="P103" s="4"/>
      <c r="Q103" s="4"/>
      <c r="R103" s="4"/>
      <c r="S103" s="16"/>
      <c r="T103" s="4"/>
    </row>
    <row r="104" spans="2:20" ht="14.4" x14ac:dyDescent="0.3">
      <c r="B104" s="4"/>
      <c r="C104" s="16"/>
      <c r="D104" s="4"/>
      <c r="E104" s="4"/>
      <c r="F104" s="4"/>
      <c r="G104" s="4"/>
      <c r="H104" s="4"/>
      <c r="I104" s="4"/>
      <c r="J104" s="4"/>
      <c r="K104" s="4"/>
      <c r="L104" s="2" t="str">
        <f t="shared" si="6"/>
        <v/>
      </c>
      <c r="M104" s="2" t="str">
        <f t="shared" si="7"/>
        <v/>
      </c>
      <c r="N104" s="4"/>
      <c r="O104" s="4"/>
      <c r="P104" s="4"/>
      <c r="Q104" s="4"/>
      <c r="R104" s="4"/>
      <c r="S104" s="16"/>
      <c r="T104" s="4"/>
    </row>
    <row r="105" spans="2:20" ht="14.4" x14ac:dyDescent="0.3">
      <c r="B105" s="4"/>
      <c r="C105" s="16"/>
      <c r="D105" s="4"/>
      <c r="E105" s="4"/>
      <c r="F105" s="4"/>
      <c r="G105" s="4"/>
      <c r="H105" s="4"/>
      <c r="I105" s="4"/>
      <c r="J105" s="4"/>
      <c r="K105" s="4"/>
      <c r="L105" s="2" t="str">
        <f t="shared" si="6"/>
        <v/>
      </c>
      <c r="M105" s="2" t="str">
        <f t="shared" si="7"/>
        <v/>
      </c>
      <c r="N105" s="4"/>
      <c r="O105" s="4"/>
      <c r="P105" s="4"/>
      <c r="Q105" s="4"/>
      <c r="R105" s="4"/>
      <c r="S105" s="16"/>
      <c r="T105" s="4"/>
    </row>
    <row r="106" spans="2:20" ht="14.4" x14ac:dyDescent="0.3">
      <c r="B106" s="4"/>
      <c r="C106" s="16"/>
      <c r="D106" s="4"/>
      <c r="E106" s="4"/>
      <c r="F106" s="4"/>
      <c r="G106" s="4"/>
      <c r="H106" s="4"/>
      <c r="I106" s="4"/>
      <c r="J106" s="4"/>
      <c r="K106" s="4"/>
      <c r="L106" s="2" t="str">
        <f t="shared" si="6"/>
        <v/>
      </c>
      <c r="M106" s="2" t="str">
        <f t="shared" si="7"/>
        <v/>
      </c>
      <c r="N106" s="4"/>
      <c r="O106" s="4"/>
      <c r="P106" s="4"/>
      <c r="Q106" s="4"/>
      <c r="R106" s="4"/>
      <c r="S106" s="16"/>
      <c r="T106" s="4"/>
    </row>
    <row r="107" spans="2:20" ht="14.4" x14ac:dyDescent="0.3">
      <c r="B107" s="4"/>
      <c r="C107" s="16"/>
      <c r="D107" s="4"/>
      <c r="E107" s="4"/>
      <c r="F107" s="4"/>
      <c r="G107" s="4"/>
      <c r="H107" s="4"/>
      <c r="I107" s="4"/>
      <c r="J107" s="4"/>
      <c r="K107" s="4"/>
      <c r="L107" s="2" t="str">
        <f t="shared" si="6"/>
        <v/>
      </c>
      <c r="M107" s="2" t="str">
        <f t="shared" si="7"/>
        <v/>
      </c>
      <c r="N107" s="4"/>
      <c r="O107" s="4"/>
      <c r="P107" s="4"/>
      <c r="Q107" s="4"/>
      <c r="R107" s="4"/>
      <c r="S107" s="16"/>
      <c r="T107" s="4"/>
    </row>
    <row r="108" spans="2:20" ht="14.4" x14ac:dyDescent="0.3">
      <c r="B108" s="4"/>
      <c r="C108" s="16"/>
      <c r="D108" s="4"/>
      <c r="E108" s="4"/>
      <c r="F108" s="4"/>
      <c r="G108" s="4"/>
      <c r="H108" s="4"/>
      <c r="I108" s="4"/>
      <c r="J108" s="4"/>
      <c r="K108" s="4"/>
      <c r="L108" s="2" t="str">
        <f t="shared" si="6"/>
        <v/>
      </c>
      <c r="M108" s="2" t="str">
        <f t="shared" si="7"/>
        <v/>
      </c>
      <c r="N108" s="4"/>
      <c r="O108" s="4"/>
      <c r="P108" s="4"/>
      <c r="Q108" s="4"/>
      <c r="R108" s="4"/>
      <c r="S108" s="16"/>
      <c r="T108" s="4"/>
    </row>
    <row r="109" spans="2:20" ht="14.4" x14ac:dyDescent="0.3">
      <c r="B109" s="4"/>
      <c r="C109" s="16"/>
      <c r="D109" s="4"/>
      <c r="E109" s="4"/>
      <c r="F109" s="4"/>
      <c r="G109" s="4"/>
      <c r="H109" s="4"/>
      <c r="I109" s="4"/>
      <c r="J109" s="4"/>
      <c r="K109" s="4"/>
      <c r="L109" s="2" t="str">
        <f t="shared" si="6"/>
        <v/>
      </c>
      <c r="M109" s="2" t="str">
        <f t="shared" si="7"/>
        <v/>
      </c>
      <c r="N109" s="4"/>
      <c r="O109" s="4"/>
      <c r="P109" s="4"/>
      <c r="Q109" s="4"/>
      <c r="R109" s="4"/>
      <c r="S109" s="16"/>
      <c r="T109" s="4"/>
    </row>
    <row r="110" spans="2:20" ht="14.4" x14ac:dyDescent="0.3">
      <c r="B110" s="4"/>
      <c r="C110" s="16"/>
      <c r="D110" s="4"/>
      <c r="E110" s="4"/>
      <c r="F110" s="4"/>
      <c r="G110" s="4"/>
      <c r="H110" s="4"/>
      <c r="I110" s="4"/>
      <c r="J110" s="4"/>
      <c r="K110" s="4"/>
      <c r="L110" s="2" t="str">
        <f t="shared" si="6"/>
        <v/>
      </c>
      <c r="M110" s="2" t="str">
        <f t="shared" si="7"/>
        <v/>
      </c>
      <c r="N110" s="4"/>
      <c r="O110" s="4"/>
      <c r="P110" s="4"/>
      <c r="Q110" s="4"/>
      <c r="R110" s="4"/>
      <c r="S110" s="16"/>
      <c r="T110" s="4"/>
    </row>
    <row r="111" spans="2:20" ht="14.4" x14ac:dyDescent="0.3">
      <c r="B111" s="4"/>
      <c r="C111" s="16"/>
      <c r="D111" s="4"/>
      <c r="E111" s="4"/>
      <c r="F111" s="4"/>
      <c r="G111" s="4"/>
      <c r="H111" s="4"/>
      <c r="I111" s="4"/>
      <c r="J111" s="4"/>
      <c r="K111" s="4"/>
      <c r="L111" s="2" t="str">
        <f t="shared" si="6"/>
        <v/>
      </c>
      <c r="M111" s="2" t="str">
        <f t="shared" si="7"/>
        <v/>
      </c>
      <c r="N111" s="4"/>
      <c r="O111" s="4"/>
      <c r="P111" s="4"/>
      <c r="Q111" s="4"/>
      <c r="R111" s="4"/>
      <c r="S111" s="16"/>
      <c r="T111" s="4"/>
    </row>
    <row r="112" spans="2:20" ht="14.4" x14ac:dyDescent="0.3">
      <c r="B112" s="4"/>
      <c r="C112" s="16"/>
      <c r="D112" s="4"/>
      <c r="E112" s="4"/>
      <c r="F112" s="4"/>
      <c r="G112" s="4"/>
      <c r="H112" s="4"/>
      <c r="I112" s="4"/>
      <c r="J112" s="4"/>
      <c r="K112" s="4"/>
      <c r="L112" s="2" t="str">
        <f t="shared" si="6"/>
        <v/>
      </c>
      <c r="M112" s="2" t="str">
        <f t="shared" si="7"/>
        <v/>
      </c>
      <c r="N112" s="4"/>
      <c r="O112" s="4"/>
      <c r="P112" s="4"/>
      <c r="Q112" s="4"/>
      <c r="R112" s="4"/>
      <c r="S112" s="16"/>
      <c r="T112" s="4"/>
    </row>
    <row r="113" spans="2:20" ht="14.4" x14ac:dyDescent="0.3">
      <c r="B113" s="4"/>
      <c r="C113" s="16"/>
      <c r="D113" s="4"/>
      <c r="E113" s="4"/>
      <c r="F113" s="4"/>
      <c r="G113" s="4"/>
      <c r="H113" s="4"/>
      <c r="I113" s="4"/>
      <c r="J113" s="4"/>
      <c r="K113" s="4"/>
      <c r="L113" s="2" t="str">
        <f t="shared" si="6"/>
        <v/>
      </c>
      <c r="M113" s="2" t="str">
        <f t="shared" si="7"/>
        <v/>
      </c>
      <c r="N113" s="4"/>
      <c r="O113" s="4"/>
      <c r="P113" s="4"/>
      <c r="Q113" s="4"/>
      <c r="R113" s="4"/>
      <c r="S113" s="16"/>
      <c r="T113" s="4"/>
    </row>
    <row r="114" spans="2:20" ht="14.4" x14ac:dyDescent="0.3">
      <c r="B114" s="4"/>
      <c r="C114" s="16"/>
      <c r="D114" s="4"/>
      <c r="E114" s="4"/>
      <c r="F114" s="4"/>
      <c r="G114" s="4"/>
      <c r="H114" s="4"/>
      <c r="I114" s="4"/>
      <c r="J114" s="4"/>
      <c r="K114" s="4"/>
      <c r="L114" s="2" t="str">
        <f t="shared" si="6"/>
        <v/>
      </c>
      <c r="M114" s="2" t="str">
        <f t="shared" si="7"/>
        <v/>
      </c>
      <c r="N114" s="4"/>
      <c r="O114" s="4"/>
      <c r="P114" s="4"/>
      <c r="Q114" s="4"/>
      <c r="R114" s="4"/>
      <c r="S114" s="16"/>
      <c r="T114" s="4"/>
    </row>
    <row r="115" spans="2:20" ht="14.4" x14ac:dyDescent="0.3">
      <c r="B115" s="4"/>
      <c r="C115" s="16"/>
      <c r="D115" s="4"/>
      <c r="E115" s="4"/>
      <c r="F115" s="4"/>
      <c r="G115" s="4"/>
      <c r="H115" s="4"/>
      <c r="I115" s="4"/>
      <c r="J115" s="4"/>
      <c r="K115" s="4"/>
      <c r="L115" s="2" t="str">
        <f t="shared" si="6"/>
        <v/>
      </c>
      <c r="M115" s="2" t="str">
        <f t="shared" si="7"/>
        <v/>
      </c>
      <c r="N115" s="4"/>
      <c r="O115" s="4"/>
      <c r="P115" s="4"/>
      <c r="Q115" s="4"/>
      <c r="R115" s="4"/>
      <c r="S115" s="16"/>
      <c r="T115" s="4"/>
    </row>
    <row r="116" spans="2:20" ht="14.4" x14ac:dyDescent="0.3">
      <c r="B116" s="4"/>
      <c r="C116" s="16"/>
      <c r="D116" s="4"/>
      <c r="E116" s="4"/>
      <c r="F116" s="4"/>
      <c r="G116" s="4"/>
      <c r="H116" s="4"/>
      <c r="I116" s="4"/>
      <c r="J116" s="4"/>
      <c r="K116" s="4"/>
      <c r="L116" s="2" t="str">
        <f t="shared" si="6"/>
        <v/>
      </c>
      <c r="M116" s="2" t="str">
        <f t="shared" si="7"/>
        <v/>
      </c>
      <c r="N116" s="4"/>
      <c r="O116" s="4"/>
      <c r="P116" s="4"/>
      <c r="Q116" s="4"/>
      <c r="R116" s="4"/>
      <c r="S116" s="16"/>
      <c r="T116" s="4"/>
    </row>
    <row r="117" spans="2:20" ht="14.4" x14ac:dyDescent="0.3">
      <c r="B117" s="4"/>
      <c r="C117" s="16"/>
      <c r="D117" s="4"/>
      <c r="E117" s="4"/>
      <c r="F117" s="4"/>
      <c r="G117" s="4"/>
      <c r="H117" s="4"/>
      <c r="I117" s="4"/>
      <c r="J117" s="4"/>
      <c r="K117" s="4"/>
      <c r="L117" s="2" t="str">
        <f t="shared" si="6"/>
        <v/>
      </c>
      <c r="M117" s="2" t="str">
        <f t="shared" si="7"/>
        <v/>
      </c>
      <c r="N117" s="4"/>
      <c r="O117" s="4"/>
      <c r="P117" s="4"/>
      <c r="Q117" s="4"/>
      <c r="R117" s="4"/>
      <c r="S117" s="16"/>
      <c r="T117" s="4"/>
    </row>
    <row r="118" spans="2:20" ht="14.4" x14ac:dyDescent="0.3">
      <c r="B118" s="4"/>
      <c r="C118" s="16"/>
      <c r="D118" s="4"/>
      <c r="E118" s="4"/>
      <c r="F118" s="4"/>
      <c r="G118" s="4"/>
      <c r="H118" s="4"/>
      <c r="I118" s="4"/>
      <c r="J118" s="4"/>
      <c r="K118" s="4"/>
      <c r="L118" s="2" t="str">
        <f t="shared" si="6"/>
        <v/>
      </c>
      <c r="M118" s="2" t="str">
        <f t="shared" si="7"/>
        <v/>
      </c>
      <c r="N118" s="4"/>
      <c r="O118" s="4"/>
      <c r="P118" s="4"/>
      <c r="Q118" s="4"/>
      <c r="R118" s="4"/>
      <c r="S118" s="16"/>
      <c r="T118" s="4"/>
    </row>
    <row r="119" spans="2:20" ht="14.4" x14ac:dyDescent="0.3">
      <c r="B119" s="4"/>
      <c r="C119" s="16"/>
      <c r="D119" s="4"/>
      <c r="E119" s="4"/>
      <c r="F119" s="4"/>
      <c r="G119" s="4"/>
      <c r="H119" s="4"/>
      <c r="I119" s="4"/>
      <c r="J119" s="4"/>
      <c r="K119" s="4"/>
      <c r="L119" s="2" t="str">
        <f t="shared" si="6"/>
        <v/>
      </c>
      <c r="M119" s="2" t="str">
        <f t="shared" si="7"/>
        <v/>
      </c>
      <c r="N119" s="4"/>
      <c r="O119" s="4"/>
      <c r="P119" s="4"/>
      <c r="Q119" s="4"/>
      <c r="R119" s="4"/>
      <c r="S119" s="16"/>
      <c r="T119" s="4"/>
    </row>
  </sheetData>
  <mergeCells count="3">
    <mergeCell ref="A1:T1"/>
    <mergeCell ref="B3:T3"/>
    <mergeCell ref="A2:T2"/>
  </mergeCells>
  <pageMargins left="0.75" right="0.75" top="1" bottom="1" header="0.5" footer="0.5"/>
  <pageSetup paperSize="9" fitToHeight="0" orientation="landscape"/>
  <headerFooter>
    <oddHeader>&amp;LKAZ PP Expansion | EHS</oddHeader>
    <oddFooter>&amp;RConfidential | 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500-000000000000}">
          <x14:formula1>
            <xm:f>Lookups!$F$5:$F$16</xm:f>
          </x14:formula1>
          <xm:sqref>E5:E200</xm:sqref>
        </x14:dataValidation>
        <x14:dataValidation type="list" allowBlank="1" xr:uid="{00000000-0002-0000-0500-000001000000}">
          <x14:formula1>
            <xm:f>Lookups!$E$5:$E$12</xm:f>
          </x14:formula1>
          <xm:sqref>G5:G200</xm:sqref>
        </x14:dataValidation>
        <x14:dataValidation type="list" allowBlank="1" xr:uid="{00000000-0002-0000-0500-000002000000}">
          <x14:formula1>
            <xm:f>Lookups!$C$5:$C$8</xm:f>
          </x14:formula1>
          <xm:sqref>Q5:Q200</xm:sqref>
        </x14:dataValidation>
        <x14:dataValidation type="list" allowBlank="1" xr:uid="{00000000-0002-0000-0500-000003000000}">
          <x14:formula1>
            <xm:f>Lookups!$D$5:$D$8</xm:f>
          </x14:formula1>
          <xm:sqref>T5:T200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D35400"/>
    <pageSetUpPr fitToPage="1"/>
  </sheetPr>
  <dimension ref="A1:W249"/>
  <sheetViews>
    <sheetView showGridLines="0" workbookViewId="0">
      <pane ySplit="4" topLeftCell="A5" activePane="bottomLeft" state="frozen"/>
      <selection pane="bottomLeft"/>
    </sheetView>
  </sheetViews>
  <sheetFormatPr defaultRowHeight="13.8" x14ac:dyDescent="0.25"/>
  <cols>
    <col min="1" max="1" width="5" customWidth="1"/>
    <col min="2" max="3" width="12" customWidth="1"/>
    <col min="4" max="4" width="22" customWidth="1"/>
    <col min="5" max="5" width="14" customWidth="1"/>
    <col min="6" max="6" width="16" customWidth="1"/>
    <col min="7" max="7" width="18" customWidth="1"/>
    <col min="8" max="8" width="14" customWidth="1"/>
    <col min="9" max="9" width="16" customWidth="1"/>
    <col min="10" max="10" width="36" customWidth="1"/>
    <col min="11" max="11" width="28" customWidth="1"/>
    <col min="12" max="12" width="14" customWidth="1"/>
    <col min="13" max="15" width="12" customWidth="1"/>
    <col min="16" max="16" width="16" customWidth="1"/>
    <col min="17" max="17" width="14" customWidth="1"/>
    <col min="18" max="18" width="18" customWidth="1"/>
    <col min="19" max="19" width="14" customWidth="1"/>
    <col min="20" max="20" width="16" customWidth="1"/>
    <col min="22" max="22" width="18" customWidth="1"/>
    <col min="23" max="23" width="12" customWidth="1"/>
  </cols>
  <sheetData>
    <row r="1" spans="1:23" ht="31.95" customHeight="1" x14ac:dyDescent="0.25">
      <c r="A1" s="29" t="s">
        <v>343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</row>
    <row r="2" spans="1:23" ht="19.95" customHeight="1" x14ac:dyDescent="0.25">
      <c r="A2" s="34" t="s">
        <v>344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</row>
    <row r="4" spans="1:23" ht="14.4" x14ac:dyDescent="0.25">
      <c r="B4" s="5" t="s">
        <v>345</v>
      </c>
      <c r="C4" s="5" t="s">
        <v>272</v>
      </c>
      <c r="D4" s="5" t="s">
        <v>98</v>
      </c>
      <c r="E4" s="5" t="s">
        <v>112</v>
      </c>
      <c r="F4" s="5" t="s">
        <v>111</v>
      </c>
      <c r="G4" s="5" t="s">
        <v>292</v>
      </c>
      <c r="H4" s="5" t="s">
        <v>346</v>
      </c>
      <c r="I4" s="5" t="s">
        <v>291</v>
      </c>
      <c r="J4" s="5" t="s">
        <v>347</v>
      </c>
      <c r="K4" s="5" t="s">
        <v>300</v>
      </c>
      <c r="L4" s="5" t="s">
        <v>348</v>
      </c>
      <c r="M4" s="5" t="s">
        <v>349</v>
      </c>
      <c r="N4" s="5" t="s">
        <v>303</v>
      </c>
      <c r="O4" s="5" t="s">
        <v>350</v>
      </c>
      <c r="P4" s="5" t="s">
        <v>351</v>
      </c>
      <c r="Q4" s="5" t="s">
        <v>352</v>
      </c>
      <c r="R4" s="5" t="s">
        <v>353</v>
      </c>
      <c r="S4" s="5" t="s">
        <v>354</v>
      </c>
      <c r="T4" s="5" t="s">
        <v>355</v>
      </c>
      <c r="V4" t="s">
        <v>356</v>
      </c>
    </row>
    <row r="5" spans="1:23" ht="14.4" x14ac:dyDescent="0.3">
      <c r="B5" s="4" t="s">
        <v>357</v>
      </c>
      <c r="C5" s="16">
        <v>46082</v>
      </c>
      <c r="D5" s="4" t="s">
        <v>100</v>
      </c>
      <c r="E5" s="4" t="s">
        <v>131</v>
      </c>
      <c r="F5" s="4" t="s">
        <v>130</v>
      </c>
      <c r="G5" s="4" t="s">
        <v>151</v>
      </c>
      <c r="H5" s="4" t="s">
        <v>358</v>
      </c>
      <c r="I5" s="4" t="s">
        <v>359</v>
      </c>
      <c r="J5" s="4" t="s">
        <v>360</v>
      </c>
      <c r="K5" s="4" t="s">
        <v>361</v>
      </c>
      <c r="L5" s="4" t="s">
        <v>362</v>
      </c>
      <c r="M5" s="16">
        <v>46083</v>
      </c>
      <c r="N5" s="16">
        <v>46083</v>
      </c>
      <c r="O5" s="2">
        <f ca="1">IF(C5="","",IF(OR(F5="Closed",F5=""),0,IF(N5&lt;&gt;"",MAX(0,N5-M5),MAX(0,TODAY()-IF(M5="",C5+IF(E5="Critical",Admin!$C$11,Admin!$C$10),M5)))))</f>
        <v>0</v>
      </c>
      <c r="P5" s="2">
        <f t="shared" ref="P5:P68" si="0">IF(D5="","",COUNTIFS($D$5:$D$250,D5,$I$5:$I$250,I5,$G$5:$G$250,G5))</f>
        <v>2</v>
      </c>
      <c r="Q5" s="2" t="str">
        <f t="shared" ref="Q5:Q68" si="1">IF(P5="","",IF(P5&gt;=3,"REPEAT ≥3",IF(P5=2,"REPEAT","Unique")))</f>
        <v>REPEAT</v>
      </c>
      <c r="R5" s="4" t="s">
        <v>363</v>
      </c>
      <c r="T5" s="2">
        <f t="shared" ref="T5:T68" si="2">IF(E5="","",IF(E5="Critical",25,IF(E5="High",16,IF(E5="Medium",9,4))))</f>
        <v>16</v>
      </c>
      <c r="V5" s="20" t="s">
        <v>364</v>
      </c>
      <c r="W5" s="2">
        <f>COUNTA(C5:C250)</f>
        <v>8</v>
      </c>
    </row>
    <row r="6" spans="1:23" ht="14.4" x14ac:dyDescent="0.3">
      <c r="B6" s="4" t="s">
        <v>365</v>
      </c>
      <c r="C6" s="16">
        <v>46084</v>
      </c>
      <c r="D6" s="4" t="s">
        <v>101</v>
      </c>
      <c r="E6" s="4" t="s">
        <v>139</v>
      </c>
      <c r="F6" s="4" t="s">
        <v>119</v>
      </c>
      <c r="G6" s="4" t="s">
        <v>92</v>
      </c>
      <c r="H6" s="4" t="s">
        <v>366</v>
      </c>
      <c r="I6" s="4" t="s">
        <v>367</v>
      </c>
      <c r="J6" s="4" t="s">
        <v>368</v>
      </c>
      <c r="K6" s="4" t="s">
        <v>369</v>
      </c>
      <c r="L6" s="4" t="s">
        <v>370</v>
      </c>
      <c r="M6" s="16">
        <v>46085</v>
      </c>
      <c r="N6" s="16"/>
      <c r="O6" s="2">
        <f ca="1">IF(C6="","",IF(OR(F6="Closed",F6=""),0,IF(N6&lt;&gt;"",MAX(0,N6-M6),MAX(0,TODAY()-IF(M6="",C6+IF(E6="Critical",Admin!$C$11,Admin!$C$10),M6)))))</f>
        <v>190</v>
      </c>
      <c r="P6" s="2">
        <f t="shared" si="0"/>
        <v>1</v>
      </c>
      <c r="Q6" s="2" t="str">
        <f t="shared" si="1"/>
        <v>Unique</v>
      </c>
      <c r="R6" s="4" t="s">
        <v>371</v>
      </c>
      <c r="T6" s="2">
        <f t="shared" si="2"/>
        <v>25</v>
      </c>
      <c r="V6" s="20" t="s">
        <v>119</v>
      </c>
      <c r="W6" s="2">
        <f>COUNTIF(F5:F250,"Open")</f>
        <v>4</v>
      </c>
    </row>
    <row r="7" spans="1:23" ht="14.4" x14ac:dyDescent="0.3">
      <c r="B7" s="4" t="s">
        <v>372</v>
      </c>
      <c r="C7" s="16">
        <v>46085</v>
      </c>
      <c r="D7" s="4" t="s">
        <v>102</v>
      </c>
      <c r="E7" s="4" t="s">
        <v>131</v>
      </c>
      <c r="F7" s="4" t="s">
        <v>124</v>
      </c>
      <c r="G7" s="4" t="s">
        <v>93</v>
      </c>
      <c r="H7" s="4" t="s">
        <v>373</v>
      </c>
      <c r="I7" s="4" t="s">
        <v>374</v>
      </c>
      <c r="J7" s="4" t="s">
        <v>375</v>
      </c>
      <c r="K7" s="4" t="s">
        <v>376</v>
      </c>
      <c r="L7" s="4" t="s">
        <v>377</v>
      </c>
      <c r="M7" s="16">
        <v>46087</v>
      </c>
      <c r="N7" s="16"/>
      <c r="O7" s="2">
        <f ca="1">IF(C7="","",IF(OR(F7="Closed",F7=""),0,IF(N7&lt;&gt;"",MAX(0,N7-M7),MAX(0,TODAY()-IF(M7="",C7+IF(E7="Critical",Admin!$C$11,Admin!$C$10),M7)))))</f>
        <v>188</v>
      </c>
      <c r="P7" s="2">
        <f t="shared" si="0"/>
        <v>1</v>
      </c>
      <c r="Q7" s="2" t="str">
        <f t="shared" si="1"/>
        <v>Unique</v>
      </c>
      <c r="R7" s="4" t="s">
        <v>378</v>
      </c>
      <c r="T7" s="2">
        <f t="shared" si="2"/>
        <v>16</v>
      </c>
      <c r="V7" s="20" t="s">
        <v>124</v>
      </c>
      <c r="W7" s="2">
        <f>COUNTIF(F5:F250,"In Progress")</f>
        <v>2</v>
      </c>
    </row>
    <row r="8" spans="1:23" ht="14.4" x14ac:dyDescent="0.3">
      <c r="B8" s="4" t="s">
        <v>379</v>
      </c>
      <c r="C8" s="16">
        <v>46087</v>
      </c>
      <c r="D8" s="4" t="s">
        <v>106</v>
      </c>
      <c r="E8" s="4" t="s">
        <v>125</v>
      </c>
      <c r="F8" s="4" t="s">
        <v>119</v>
      </c>
      <c r="G8" s="4" t="s">
        <v>143</v>
      </c>
      <c r="H8" s="4" t="s">
        <v>380</v>
      </c>
      <c r="I8" s="4" t="s">
        <v>381</v>
      </c>
      <c r="J8" s="4" t="s">
        <v>382</v>
      </c>
      <c r="K8" s="4" t="s">
        <v>383</v>
      </c>
      <c r="L8" s="4" t="s">
        <v>384</v>
      </c>
      <c r="M8" s="16">
        <v>46088</v>
      </c>
      <c r="N8" s="16"/>
      <c r="O8" s="2">
        <f ca="1">IF(C8="","",IF(OR(F8="Closed",F8=""),0,IF(N8&lt;&gt;"",MAX(0,N8-M8),MAX(0,TODAY()-IF(M8="",C8+IF(E8="Critical",Admin!$C$11,Admin!$C$10),M8)))))</f>
        <v>187</v>
      </c>
      <c r="P8" s="2">
        <f t="shared" si="0"/>
        <v>1</v>
      </c>
      <c r="Q8" s="2" t="str">
        <f t="shared" si="1"/>
        <v>Unique</v>
      </c>
      <c r="R8" s="4" t="s">
        <v>385</v>
      </c>
      <c r="T8" s="2">
        <f t="shared" si="2"/>
        <v>9</v>
      </c>
      <c r="V8" s="20" t="s">
        <v>130</v>
      </c>
      <c r="W8" s="2">
        <f>COUNTIF(F5:F250,"Closed")</f>
        <v>2</v>
      </c>
    </row>
    <row r="9" spans="1:23" ht="14.4" x14ac:dyDescent="0.3">
      <c r="B9" s="4" t="s">
        <v>386</v>
      </c>
      <c r="C9" s="16">
        <v>46088</v>
      </c>
      <c r="D9" s="4" t="s">
        <v>103</v>
      </c>
      <c r="E9" s="4" t="s">
        <v>131</v>
      </c>
      <c r="F9" s="4" t="s">
        <v>119</v>
      </c>
      <c r="G9" s="4" t="s">
        <v>147</v>
      </c>
      <c r="H9" s="4" t="s">
        <v>387</v>
      </c>
      <c r="I9" s="4" t="s">
        <v>388</v>
      </c>
      <c r="J9" s="4" t="s">
        <v>389</v>
      </c>
      <c r="K9" s="4" t="s">
        <v>390</v>
      </c>
      <c r="L9" s="4" t="s">
        <v>391</v>
      </c>
      <c r="M9" s="16">
        <v>46089</v>
      </c>
      <c r="N9" s="16"/>
      <c r="O9" s="2">
        <f ca="1">IF(C9="","",IF(OR(F9="Closed",F9=""),0,IF(N9&lt;&gt;"",MAX(0,N9-M9),MAX(0,TODAY()-IF(M9="",C9+IF(E9="Critical",Admin!$C$11,Admin!$C$10),M9)))))</f>
        <v>186</v>
      </c>
      <c r="P9" s="2">
        <f t="shared" si="0"/>
        <v>1</v>
      </c>
      <c r="Q9" s="2" t="str">
        <f t="shared" si="1"/>
        <v>Unique</v>
      </c>
      <c r="R9" s="4" t="s">
        <v>392</v>
      </c>
      <c r="T9" s="2">
        <f t="shared" si="2"/>
        <v>16</v>
      </c>
      <c r="V9" s="20" t="s">
        <v>393</v>
      </c>
      <c r="W9" s="2">
        <f ca="1">COUNTIF(O5:O250,"&gt;0")</f>
        <v>6</v>
      </c>
    </row>
    <row r="10" spans="1:23" ht="14.4" x14ac:dyDescent="0.3">
      <c r="B10" s="4" t="s">
        <v>394</v>
      </c>
      <c r="C10" s="16">
        <v>46089</v>
      </c>
      <c r="D10" s="4" t="s">
        <v>100</v>
      </c>
      <c r="E10" s="4" t="s">
        <v>125</v>
      </c>
      <c r="F10" s="4" t="s">
        <v>130</v>
      </c>
      <c r="G10" s="4" t="s">
        <v>151</v>
      </c>
      <c r="H10" s="4" t="s">
        <v>395</v>
      </c>
      <c r="I10" s="4" t="s">
        <v>359</v>
      </c>
      <c r="J10" s="4" t="s">
        <v>396</v>
      </c>
      <c r="K10" s="4" t="s">
        <v>397</v>
      </c>
      <c r="L10" s="4" t="s">
        <v>398</v>
      </c>
      <c r="M10" s="16">
        <v>46090</v>
      </c>
      <c r="N10" s="16">
        <v>46090</v>
      </c>
      <c r="O10" s="2">
        <f ca="1">IF(C10="","",IF(OR(F10="Closed",F10=""),0,IF(N10&lt;&gt;"",MAX(0,N10-M10),MAX(0,TODAY()-IF(M10="",C10+IF(E10="Critical",Admin!$C$11,Admin!$C$10),M10)))))</f>
        <v>0</v>
      </c>
      <c r="P10" s="2">
        <f t="shared" si="0"/>
        <v>2</v>
      </c>
      <c r="Q10" s="2" t="str">
        <f t="shared" si="1"/>
        <v>REPEAT</v>
      </c>
      <c r="R10" s="4" t="s">
        <v>363</v>
      </c>
      <c r="T10" s="2">
        <f t="shared" si="2"/>
        <v>9</v>
      </c>
      <c r="V10" s="20" t="s">
        <v>399</v>
      </c>
      <c r="W10" s="2">
        <f>COUNTIFS(E5:E250,"Critical",F5:F250,"&lt;&gt;Closed")</f>
        <v>2</v>
      </c>
    </row>
    <row r="11" spans="1:23" ht="14.4" x14ac:dyDescent="0.3">
      <c r="B11" s="4" t="s">
        <v>400</v>
      </c>
      <c r="C11" s="16">
        <v>46090</v>
      </c>
      <c r="D11" s="4" t="s">
        <v>105</v>
      </c>
      <c r="E11" s="4" t="s">
        <v>131</v>
      </c>
      <c r="F11" s="4" t="s">
        <v>124</v>
      </c>
      <c r="G11" s="4" t="s">
        <v>143</v>
      </c>
      <c r="H11" s="4" t="s">
        <v>401</v>
      </c>
      <c r="I11" s="4" t="s">
        <v>402</v>
      </c>
      <c r="J11" s="4" t="s">
        <v>403</v>
      </c>
      <c r="K11" s="4" t="s">
        <v>404</v>
      </c>
      <c r="L11" s="4" t="s">
        <v>405</v>
      </c>
      <c r="M11" s="16">
        <v>46091</v>
      </c>
      <c r="N11" s="16"/>
      <c r="O11" s="2">
        <f ca="1">IF(C11="","",IF(OR(F11="Closed",F11=""),0,IF(N11&lt;&gt;"",MAX(0,N11-M11),MAX(0,TODAY()-IF(M11="",C11+IF(E11="Critical",Admin!$C$11,Admin!$C$10),M11)))))</f>
        <v>184</v>
      </c>
      <c r="P11" s="2">
        <f t="shared" si="0"/>
        <v>1</v>
      </c>
      <c r="Q11" s="2" t="str">
        <f t="shared" si="1"/>
        <v>Unique</v>
      </c>
      <c r="R11" s="4" t="s">
        <v>406</v>
      </c>
      <c r="T11" s="2">
        <f t="shared" si="2"/>
        <v>16</v>
      </c>
    </row>
    <row r="12" spans="1:23" ht="14.4" x14ac:dyDescent="0.3">
      <c r="B12" s="4" t="s">
        <v>407</v>
      </c>
      <c r="C12" s="16">
        <v>46091</v>
      </c>
      <c r="D12" s="4" t="s">
        <v>104</v>
      </c>
      <c r="E12" s="4" t="s">
        <v>139</v>
      </c>
      <c r="F12" s="4" t="s">
        <v>119</v>
      </c>
      <c r="G12" s="4" t="s">
        <v>140</v>
      </c>
      <c r="H12" s="4" t="s">
        <v>408</v>
      </c>
      <c r="I12" s="4" t="s">
        <v>409</v>
      </c>
      <c r="J12" s="4" t="s">
        <v>410</v>
      </c>
      <c r="K12" s="4" t="s">
        <v>411</v>
      </c>
      <c r="L12" s="4" t="s">
        <v>412</v>
      </c>
      <c r="M12" s="16">
        <v>46091</v>
      </c>
      <c r="N12" s="16"/>
      <c r="O12" s="2">
        <f ca="1">IF(C12="","",IF(OR(F12="Closed",F12=""),0,IF(N12&lt;&gt;"",MAX(0,N12-M12),MAX(0,TODAY()-IF(M12="",C12+IF(E12="Critical",Admin!$C$11,Admin!$C$10),M12)))))</f>
        <v>184</v>
      </c>
      <c r="P12" s="2">
        <f t="shared" si="0"/>
        <v>1</v>
      </c>
      <c r="Q12" s="2" t="str">
        <f t="shared" si="1"/>
        <v>Unique</v>
      </c>
      <c r="R12" s="4" t="s">
        <v>371</v>
      </c>
      <c r="T12" s="2">
        <f t="shared" si="2"/>
        <v>25</v>
      </c>
    </row>
    <row r="13" spans="1:23" ht="14.4" x14ac:dyDescent="0.3">
      <c r="B13" s="4"/>
      <c r="C13" s="16"/>
      <c r="D13" s="4"/>
      <c r="E13" s="4"/>
      <c r="F13" s="4"/>
      <c r="G13" s="4"/>
      <c r="H13" s="4"/>
      <c r="I13" s="4"/>
      <c r="J13" s="4"/>
      <c r="K13" s="4"/>
      <c r="L13" s="4"/>
      <c r="M13" s="16"/>
      <c r="N13" s="16"/>
      <c r="O13" s="2" t="str">
        <f ca="1">IF(C13="","",IF(OR(F13="Closed",F13=""),0,IF(N13&lt;&gt;"",MAX(0,N13-M13),MAX(0,TODAY()-IF(M13="",C13+IF(E13="Critical",Admin!$C$11,Admin!$C$10),M13)))))</f>
        <v/>
      </c>
      <c r="P13" s="2" t="str">
        <f t="shared" si="0"/>
        <v/>
      </c>
      <c r="Q13" s="2" t="str">
        <f t="shared" si="1"/>
        <v/>
      </c>
      <c r="R13" s="4"/>
      <c r="S13" s="4"/>
      <c r="T13" s="2" t="str">
        <f t="shared" si="2"/>
        <v/>
      </c>
    </row>
    <row r="14" spans="1:23" ht="14.4" x14ac:dyDescent="0.3">
      <c r="B14" s="4"/>
      <c r="C14" s="16"/>
      <c r="D14" s="4"/>
      <c r="E14" s="4"/>
      <c r="F14" s="4"/>
      <c r="G14" s="4"/>
      <c r="H14" s="4"/>
      <c r="I14" s="4"/>
      <c r="J14" s="4"/>
      <c r="K14" s="4"/>
      <c r="L14" s="4"/>
      <c r="M14" s="16"/>
      <c r="N14" s="16"/>
      <c r="O14" s="2" t="str">
        <f ca="1">IF(C14="","",IF(OR(F14="Closed",F14=""),0,IF(N14&lt;&gt;"",MAX(0,N14-M14),MAX(0,TODAY()-IF(M14="",C14+IF(E14="Critical",Admin!$C$11,Admin!$C$10),M14)))))</f>
        <v/>
      </c>
      <c r="P14" s="2" t="str">
        <f t="shared" si="0"/>
        <v/>
      </c>
      <c r="Q14" s="2" t="str">
        <f t="shared" si="1"/>
        <v/>
      </c>
      <c r="R14" s="4"/>
      <c r="S14" s="4"/>
      <c r="T14" s="2" t="str">
        <f t="shared" si="2"/>
        <v/>
      </c>
    </row>
    <row r="15" spans="1:23" ht="14.4" x14ac:dyDescent="0.3">
      <c r="B15" s="4"/>
      <c r="C15" s="16"/>
      <c r="D15" s="4"/>
      <c r="E15" s="4"/>
      <c r="F15" s="4"/>
      <c r="G15" s="4"/>
      <c r="H15" s="4"/>
      <c r="I15" s="4"/>
      <c r="J15" s="4"/>
      <c r="K15" s="4"/>
      <c r="L15" s="4"/>
      <c r="M15" s="16"/>
      <c r="N15" s="16"/>
      <c r="O15" s="2" t="str">
        <f ca="1">IF(C15="","",IF(OR(F15="Closed",F15=""),0,IF(N15&lt;&gt;"",MAX(0,N15-M15),MAX(0,TODAY()-IF(M15="",C15+IF(E15="Critical",Admin!$C$11,Admin!$C$10),M15)))))</f>
        <v/>
      </c>
      <c r="P15" s="2" t="str">
        <f t="shared" si="0"/>
        <v/>
      </c>
      <c r="Q15" s="2" t="str">
        <f t="shared" si="1"/>
        <v/>
      </c>
      <c r="R15" s="4"/>
      <c r="S15" s="4"/>
      <c r="T15" s="2" t="str">
        <f t="shared" si="2"/>
        <v/>
      </c>
    </row>
    <row r="16" spans="1:23" ht="14.4" x14ac:dyDescent="0.3">
      <c r="B16" s="4"/>
      <c r="C16" s="16"/>
      <c r="D16" s="4"/>
      <c r="E16" s="4"/>
      <c r="F16" s="4"/>
      <c r="G16" s="4"/>
      <c r="H16" s="4"/>
      <c r="I16" s="4"/>
      <c r="J16" s="4"/>
      <c r="K16" s="4"/>
      <c r="L16" s="4"/>
      <c r="M16" s="16"/>
      <c r="N16" s="16"/>
      <c r="O16" s="2" t="str">
        <f ca="1">IF(C16="","",IF(OR(F16="Closed",F16=""),0,IF(N16&lt;&gt;"",MAX(0,N16-M16),MAX(0,TODAY()-IF(M16="",C16+IF(E16="Critical",Admin!$C$11,Admin!$C$10),M16)))))</f>
        <v/>
      </c>
      <c r="P16" s="2" t="str">
        <f t="shared" si="0"/>
        <v/>
      </c>
      <c r="Q16" s="2" t="str">
        <f t="shared" si="1"/>
        <v/>
      </c>
      <c r="R16" s="4"/>
      <c r="S16" s="4"/>
      <c r="T16" s="2" t="str">
        <f t="shared" si="2"/>
        <v/>
      </c>
    </row>
    <row r="17" spans="2:20" ht="14.4" x14ac:dyDescent="0.3">
      <c r="B17" s="4"/>
      <c r="C17" s="16"/>
      <c r="D17" s="4"/>
      <c r="E17" s="4"/>
      <c r="F17" s="4"/>
      <c r="G17" s="4"/>
      <c r="H17" s="4"/>
      <c r="I17" s="4"/>
      <c r="J17" s="4"/>
      <c r="K17" s="4"/>
      <c r="L17" s="4"/>
      <c r="M17" s="16"/>
      <c r="N17" s="16"/>
      <c r="O17" s="2" t="str">
        <f ca="1">IF(C17="","",IF(OR(F17="Closed",F17=""),0,IF(N17&lt;&gt;"",MAX(0,N17-M17),MAX(0,TODAY()-IF(M17="",C17+IF(E17="Critical",Admin!$C$11,Admin!$C$10),M17)))))</f>
        <v/>
      </c>
      <c r="P17" s="2" t="str">
        <f t="shared" si="0"/>
        <v/>
      </c>
      <c r="Q17" s="2" t="str">
        <f t="shared" si="1"/>
        <v/>
      </c>
      <c r="R17" s="4"/>
      <c r="S17" s="4"/>
      <c r="T17" s="2" t="str">
        <f t="shared" si="2"/>
        <v/>
      </c>
    </row>
    <row r="18" spans="2:20" ht="14.4" x14ac:dyDescent="0.3">
      <c r="B18" s="4"/>
      <c r="C18" s="16"/>
      <c r="D18" s="4"/>
      <c r="E18" s="4"/>
      <c r="F18" s="4"/>
      <c r="G18" s="4"/>
      <c r="H18" s="4"/>
      <c r="I18" s="4"/>
      <c r="J18" s="4"/>
      <c r="K18" s="4"/>
      <c r="L18" s="4"/>
      <c r="M18" s="16"/>
      <c r="N18" s="16"/>
      <c r="O18" s="2" t="str">
        <f ca="1">IF(C18="","",IF(OR(F18="Closed",F18=""),0,IF(N18&lt;&gt;"",MAX(0,N18-M18),MAX(0,TODAY()-IF(M18="",C18+IF(E18="Critical",Admin!$C$11,Admin!$C$10),M18)))))</f>
        <v/>
      </c>
      <c r="P18" s="2" t="str">
        <f t="shared" si="0"/>
        <v/>
      </c>
      <c r="Q18" s="2" t="str">
        <f t="shared" si="1"/>
        <v/>
      </c>
      <c r="R18" s="4"/>
      <c r="S18" s="4"/>
      <c r="T18" s="2" t="str">
        <f t="shared" si="2"/>
        <v/>
      </c>
    </row>
    <row r="19" spans="2:20" ht="14.4" x14ac:dyDescent="0.3">
      <c r="B19" s="4"/>
      <c r="C19" s="16"/>
      <c r="D19" s="4"/>
      <c r="E19" s="4"/>
      <c r="F19" s="4"/>
      <c r="G19" s="4"/>
      <c r="H19" s="4"/>
      <c r="I19" s="4"/>
      <c r="J19" s="4"/>
      <c r="K19" s="4"/>
      <c r="L19" s="4"/>
      <c r="M19" s="16"/>
      <c r="N19" s="16"/>
      <c r="O19" s="2" t="str">
        <f ca="1">IF(C19="","",IF(OR(F19="Closed",F19=""),0,IF(N19&lt;&gt;"",MAX(0,N19-M19),MAX(0,TODAY()-IF(M19="",C19+IF(E19="Critical",Admin!$C$11,Admin!$C$10),M19)))))</f>
        <v/>
      </c>
      <c r="P19" s="2" t="str">
        <f t="shared" si="0"/>
        <v/>
      </c>
      <c r="Q19" s="2" t="str">
        <f t="shared" si="1"/>
        <v/>
      </c>
      <c r="R19" s="4"/>
      <c r="S19" s="4"/>
      <c r="T19" s="2" t="str">
        <f t="shared" si="2"/>
        <v/>
      </c>
    </row>
    <row r="20" spans="2:20" ht="14.4" x14ac:dyDescent="0.3">
      <c r="B20" s="4"/>
      <c r="C20" s="16"/>
      <c r="D20" s="4"/>
      <c r="E20" s="4"/>
      <c r="F20" s="4"/>
      <c r="G20" s="4"/>
      <c r="H20" s="4"/>
      <c r="I20" s="4"/>
      <c r="J20" s="4"/>
      <c r="K20" s="4"/>
      <c r="L20" s="4"/>
      <c r="M20" s="16"/>
      <c r="N20" s="16"/>
      <c r="O20" s="2" t="str">
        <f ca="1">IF(C20="","",IF(OR(F20="Closed",F20=""),0,IF(N20&lt;&gt;"",MAX(0,N20-M20),MAX(0,TODAY()-IF(M20="",C20+IF(E20="Critical",Admin!$C$11,Admin!$C$10),M20)))))</f>
        <v/>
      </c>
      <c r="P20" s="2" t="str">
        <f t="shared" si="0"/>
        <v/>
      </c>
      <c r="Q20" s="2" t="str">
        <f t="shared" si="1"/>
        <v/>
      </c>
      <c r="R20" s="4"/>
      <c r="S20" s="4"/>
      <c r="T20" s="2" t="str">
        <f t="shared" si="2"/>
        <v/>
      </c>
    </row>
    <row r="21" spans="2:20" ht="14.4" x14ac:dyDescent="0.3">
      <c r="B21" s="4"/>
      <c r="C21" s="16"/>
      <c r="D21" s="4"/>
      <c r="E21" s="4"/>
      <c r="F21" s="4"/>
      <c r="G21" s="4"/>
      <c r="H21" s="4"/>
      <c r="I21" s="4"/>
      <c r="J21" s="4"/>
      <c r="K21" s="4"/>
      <c r="L21" s="4"/>
      <c r="M21" s="16"/>
      <c r="N21" s="16"/>
      <c r="O21" s="2" t="str">
        <f ca="1">IF(C21="","",IF(OR(F21="Closed",F21=""),0,IF(N21&lt;&gt;"",MAX(0,N21-M21),MAX(0,TODAY()-IF(M21="",C21+IF(E21="Critical",Admin!$C$11,Admin!$C$10),M21)))))</f>
        <v/>
      </c>
      <c r="P21" s="2" t="str">
        <f t="shared" si="0"/>
        <v/>
      </c>
      <c r="Q21" s="2" t="str">
        <f t="shared" si="1"/>
        <v/>
      </c>
      <c r="R21" s="4"/>
      <c r="S21" s="4"/>
      <c r="T21" s="2" t="str">
        <f t="shared" si="2"/>
        <v/>
      </c>
    </row>
    <row r="22" spans="2:20" ht="14.4" x14ac:dyDescent="0.3">
      <c r="B22" s="4"/>
      <c r="C22" s="16"/>
      <c r="D22" s="4"/>
      <c r="E22" s="4"/>
      <c r="F22" s="4"/>
      <c r="G22" s="4"/>
      <c r="H22" s="4"/>
      <c r="I22" s="4"/>
      <c r="J22" s="4"/>
      <c r="K22" s="4"/>
      <c r="L22" s="4"/>
      <c r="M22" s="16"/>
      <c r="N22" s="16"/>
      <c r="O22" s="2" t="str">
        <f ca="1">IF(C22="","",IF(OR(F22="Closed",F22=""),0,IF(N22&lt;&gt;"",MAX(0,N22-M22),MAX(0,TODAY()-IF(M22="",C22+IF(E22="Critical",Admin!$C$11,Admin!$C$10),M22)))))</f>
        <v/>
      </c>
      <c r="P22" s="2" t="str">
        <f t="shared" si="0"/>
        <v/>
      </c>
      <c r="Q22" s="2" t="str">
        <f t="shared" si="1"/>
        <v/>
      </c>
      <c r="R22" s="4"/>
      <c r="S22" s="4"/>
      <c r="T22" s="2" t="str">
        <f t="shared" si="2"/>
        <v/>
      </c>
    </row>
    <row r="23" spans="2:20" ht="14.4" x14ac:dyDescent="0.3">
      <c r="B23" s="4"/>
      <c r="C23" s="16"/>
      <c r="D23" s="4"/>
      <c r="E23" s="4"/>
      <c r="F23" s="4"/>
      <c r="G23" s="4"/>
      <c r="H23" s="4"/>
      <c r="I23" s="4"/>
      <c r="J23" s="4"/>
      <c r="K23" s="4"/>
      <c r="L23" s="4"/>
      <c r="M23" s="16"/>
      <c r="N23" s="16"/>
      <c r="O23" s="2" t="str">
        <f ca="1">IF(C23="","",IF(OR(F23="Closed",F23=""),0,IF(N23&lt;&gt;"",MAX(0,N23-M23),MAX(0,TODAY()-IF(M23="",C23+IF(E23="Critical",Admin!$C$11,Admin!$C$10),M23)))))</f>
        <v/>
      </c>
      <c r="P23" s="2" t="str">
        <f t="shared" si="0"/>
        <v/>
      </c>
      <c r="Q23" s="2" t="str">
        <f t="shared" si="1"/>
        <v/>
      </c>
      <c r="R23" s="4"/>
      <c r="S23" s="4"/>
      <c r="T23" s="2" t="str">
        <f t="shared" si="2"/>
        <v/>
      </c>
    </row>
    <row r="24" spans="2:20" ht="14.4" x14ac:dyDescent="0.3">
      <c r="B24" s="4"/>
      <c r="C24" s="16"/>
      <c r="D24" s="4"/>
      <c r="E24" s="4"/>
      <c r="F24" s="4"/>
      <c r="G24" s="4"/>
      <c r="H24" s="4"/>
      <c r="I24" s="4"/>
      <c r="J24" s="4"/>
      <c r="K24" s="4"/>
      <c r="L24" s="4"/>
      <c r="M24" s="16"/>
      <c r="N24" s="16"/>
      <c r="O24" s="2" t="str">
        <f ca="1">IF(C24="","",IF(OR(F24="Closed",F24=""),0,IF(N24&lt;&gt;"",MAX(0,N24-M24),MAX(0,TODAY()-IF(M24="",C24+IF(E24="Critical",Admin!$C$11,Admin!$C$10),M24)))))</f>
        <v/>
      </c>
      <c r="P24" s="2" t="str">
        <f t="shared" si="0"/>
        <v/>
      </c>
      <c r="Q24" s="2" t="str">
        <f t="shared" si="1"/>
        <v/>
      </c>
      <c r="R24" s="4"/>
      <c r="S24" s="4"/>
      <c r="T24" s="2" t="str">
        <f t="shared" si="2"/>
        <v/>
      </c>
    </row>
    <row r="25" spans="2:20" ht="14.4" x14ac:dyDescent="0.3">
      <c r="B25" s="4"/>
      <c r="C25" s="16"/>
      <c r="D25" s="4"/>
      <c r="E25" s="4"/>
      <c r="F25" s="4"/>
      <c r="G25" s="4"/>
      <c r="H25" s="4"/>
      <c r="I25" s="4"/>
      <c r="J25" s="4"/>
      <c r="K25" s="4"/>
      <c r="L25" s="4"/>
      <c r="M25" s="16"/>
      <c r="N25" s="16"/>
      <c r="O25" s="2" t="str">
        <f ca="1">IF(C25="","",IF(OR(F25="Closed",F25=""),0,IF(N25&lt;&gt;"",MAX(0,N25-M25),MAX(0,TODAY()-IF(M25="",C25+IF(E25="Critical",Admin!$C$11,Admin!$C$10),M25)))))</f>
        <v/>
      </c>
      <c r="P25" s="2" t="str">
        <f t="shared" si="0"/>
        <v/>
      </c>
      <c r="Q25" s="2" t="str">
        <f t="shared" si="1"/>
        <v/>
      </c>
      <c r="R25" s="4"/>
      <c r="S25" s="4"/>
      <c r="T25" s="2" t="str">
        <f t="shared" si="2"/>
        <v/>
      </c>
    </row>
    <row r="26" spans="2:20" ht="14.4" x14ac:dyDescent="0.3">
      <c r="B26" s="4"/>
      <c r="C26" s="16"/>
      <c r="D26" s="4"/>
      <c r="E26" s="4"/>
      <c r="F26" s="4"/>
      <c r="G26" s="4"/>
      <c r="H26" s="4"/>
      <c r="I26" s="4"/>
      <c r="J26" s="4"/>
      <c r="K26" s="4"/>
      <c r="L26" s="4"/>
      <c r="M26" s="16"/>
      <c r="N26" s="16"/>
      <c r="O26" s="2" t="str">
        <f ca="1">IF(C26="","",IF(OR(F26="Closed",F26=""),0,IF(N26&lt;&gt;"",MAX(0,N26-M26),MAX(0,TODAY()-IF(M26="",C26+IF(E26="Critical",Admin!$C$11,Admin!$C$10),M26)))))</f>
        <v/>
      </c>
      <c r="P26" s="2" t="str">
        <f t="shared" si="0"/>
        <v/>
      </c>
      <c r="Q26" s="2" t="str">
        <f t="shared" si="1"/>
        <v/>
      </c>
      <c r="R26" s="4"/>
      <c r="S26" s="4"/>
      <c r="T26" s="2" t="str">
        <f t="shared" si="2"/>
        <v/>
      </c>
    </row>
    <row r="27" spans="2:20" ht="14.4" x14ac:dyDescent="0.3">
      <c r="B27" s="4"/>
      <c r="C27" s="16"/>
      <c r="D27" s="4"/>
      <c r="E27" s="4"/>
      <c r="F27" s="4"/>
      <c r="G27" s="4"/>
      <c r="H27" s="4"/>
      <c r="I27" s="4"/>
      <c r="J27" s="4"/>
      <c r="K27" s="4"/>
      <c r="L27" s="4"/>
      <c r="M27" s="16"/>
      <c r="N27" s="16"/>
      <c r="O27" s="2" t="str">
        <f ca="1">IF(C27="","",IF(OR(F27="Closed",F27=""),0,IF(N27&lt;&gt;"",MAX(0,N27-M27),MAX(0,TODAY()-IF(M27="",C27+IF(E27="Critical",Admin!$C$11,Admin!$C$10),M27)))))</f>
        <v/>
      </c>
      <c r="P27" s="2" t="str">
        <f t="shared" si="0"/>
        <v/>
      </c>
      <c r="Q27" s="2" t="str">
        <f t="shared" si="1"/>
        <v/>
      </c>
      <c r="R27" s="4"/>
      <c r="S27" s="4"/>
      <c r="T27" s="2" t="str">
        <f t="shared" si="2"/>
        <v/>
      </c>
    </row>
    <row r="28" spans="2:20" ht="14.4" x14ac:dyDescent="0.3">
      <c r="B28" s="4"/>
      <c r="C28" s="16"/>
      <c r="D28" s="4"/>
      <c r="E28" s="4"/>
      <c r="F28" s="4"/>
      <c r="G28" s="4"/>
      <c r="H28" s="4"/>
      <c r="I28" s="4"/>
      <c r="J28" s="4"/>
      <c r="K28" s="4"/>
      <c r="L28" s="4"/>
      <c r="M28" s="16"/>
      <c r="N28" s="16"/>
      <c r="O28" s="2" t="str">
        <f ca="1">IF(C28="","",IF(OR(F28="Closed",F28=""),0,IF(N28&lt;&gt;"",MAX(0,N28-M28),MAX(0,TODAY()-IF(M28="",C28+IF(E28="Critical",Admin!$C$11,Admin!$C$10),M28)))))</f>
        <v/>
      </c>
      <c r="P28" s="2" t="str">
        <f t="shared" si="0"/>
        <v/>
      </c>
      <c r="Q28" s="2" t="str">
        <f t="shared" si="1"/>
        <v/>
      </c>
      <c r="R28" s="4"/>
      <c r="S28" s="4"/>
      <c r="T28" s="2" t="str">
        <f t="shared" si="2"/>
        <v/>
      </c>
    </row>
    <row r="29" spans="2:20" ht="14.4" x14ac:dyDescent="0.3">
      <c r="B29" s="4"/>
      <c r="C29" s="16"/>
      <c r="D29" s="4"/>
      <c r="E29" s="4"/>
      <c r="F29" s="4"/>
      <c r="G29" s="4"/>
      <c r="H29" s="4"/>
      <c r="I29" s="4"/>
      <c r="J29" s="4"/>
      <c r="K29" s="4"/>
      <c r="L29" s="4"/>
      <c r="M29" s="16"/>
      <c r="N29" s="16"/>
      <c r="O29" s="2" t="str">
        <f ca="1">IF(C29="","",IF(OR(F29="Closed",F29=""),0,IF(N29&lt;&gt;"",MAX(0,N29-M29),MAX(0,TODAY()-IF(M29="",C29+IF(E29="Critical",Admin!$C$11,Admin!$C$10),M29)))))</f>
        <v/>
      </c>
      <c r="P29" s="2" t="str">
        <f t="shared" si="0"/>
        <v/>
      </c>
      <c r="Q29" s="2" t="str">
        <f t="shared" si="1"/>
        <v/>
      </c>
      <c r="R29" s="4"/>
      <c r="S29" s="4"/>
      <c r="T29" s="2" t="str">
        <f t="shared" si="2"/>
        <v/>
      </c>
    </row>
    <row r="30" spans="2:20" ht="14.4" x14ac:dyDescent="0.3">
      <c r="B30" s="4"/>
      <c r="C30" s="16"/>
      <c r="D30" s="4"/>
      <c r="E30" s="4"/>
      <c r="F30" s="4"/>
      <c r="G30" s="4"/>
      <c r="H30" s="4"/>
      <c r="I30" s="4"/>
      <c r="J30" s="4"/>
      <c r="K30" s="4"/>
      <c r="L30" s="4"/>
      <c r="M30" s="16"/>
      <c r="N30" s="16"/>
      <c r="O30" s="2" t="str">
        <f ca="1">IF(C30="","",IF(OR(F30="Closed",F30=""),0,IF(N30&lt;&gt;"",MAX(0,N30-M30),MAX(0,TODAY()-IF(M30="",C30+IF(E30="Critical",Admin!$C$11,Admin!$C$10),M30)))))</f>
        <v/>
      </c>
      <c r="P30" s="2" t="str">
        <f t="shared" si="0"/>
        <v/>
      </c>
      <c r="Q30" s="2" t="str">
        <f t="shared" si="1"/>
        <v/>
      </c>
      <c r="R30" s="4"/>
      <c r="S30" s="4"/>
      <c r="T30" s="2" t="str">
        <f t="shared" si="2"/>
        <v/>
      </c>
    </row>
    <row r="31" spans="2:20" ht="14.4" x14ac:dyDescent="0.3">
      <c r="B31" s="4"/>
      <c r="C31" s="16"/>
      <c r="D31" s="4"/>
      <c r="E31" s="4"/>
      <c r="F31" s="4"/>
      <c r="G31" s="4"/>
      <c r="H31" s="4"/>
      <c r="I31" s="4"/>
      <c r="J31" s="4"/>
      <c r="K31" s="4"/>
      <c r="L31" s="4"/>
      <c r="M31" s="16"/>
      <c r="N31" s="16"/>
      <c r="O31" s="2" t="str">
        <f ca="1">IF(C31="","",IF(OR(F31="Closed",F31=""),0,IF(N31&lt;&gt;"",MAX(0,N31-M31),MAX(0,TODAY()-IF(M31="",C31+IF(E31="Critical",Admin!$C$11,Admin!$C$10),M31)))))</f>
        <v/>
      </c>
      <c r="P31" s="2" t="str">
        <f t="shared" si="0"/>
        <v/>
      </c>
      <c r="Q31" s="2" t="str">
        <f t="shared" si="1"/>
        <v/>
      </c>
      <c r="R31" s="4"/>
      <c r="S31" s="4"/>
      <c r="T31" s="2" t="str">
        <f t="shared" si="2"/>
        <v/>
      </c>
    </row>
    <row r="32" spans="2:20" ht="14.4" x14ac:dyDescent="0.3">
      <c r="B32" s="4"/>
      <c r="C32" s="16"/>
      <c r="D32" s="4"/>
      <c r="E32" s="4"/>
      <c r="F32" s="4"/>
      <c r="G32" s="4"/>
      <c r="H32" s="4"/>
      <c r="I32" s="4"/>
      <c r="J32" s="4"/>
      <c r="K32" s="4"/>
      <c r="L32" s="4"/>
      <c r="M32" s="16"/>
      <c r="N32" s="16"/>
      <c r="O32" s="2" t="str">
        <f ca="1">IF(C32="","",IF(OR(F32="Closed",F32=""),0,IF(N32&lt;&gt;"",MAX(0,N32-M32),MAX(0,TODAY()-IF(M32="",C32+IF(E32="Critical",Admin!$C$11,Admin!$C$10),M32)))))</f>
        <v/>
      </c>
      <c r="P32" s="2" t="str">
        <f t="shared" si="0"/>
        <v/>
      </c>
      <c r="Q32" s="2" t="str">
        <f t="shared" si="1"/>
        <v/>
      </c>
      <c r="R32" s="4"/>
      <c r="S32" s="4"/>
      <c r="T32" s="2" t="str">
        <f t="shared" si="2"/>
        <v/>
      </c>
    </row>
    <row r="33" spans="2:20" ht="14.4" x14ac:dyDescent="0.3">
      <c r="B33" s="4"/>
      <c r="C33" s="16"/>
      <c r="D33" s="4"/>
      <c r="E33" s="4"/>
      <c r="F33" s="4"/>
      <c r="G33" s="4"/>
      <c r="H33" s="4"/>
      <c r="I33" s="4"/>
      <c r="J33" s="4"/>
      <c r="K33" s="4"/>
      <c r="L33" s="4"/>
      <c r="M33" s="16"/>
      <c r="N33" s="16"/>
      <c r="O33" s="2" t="str">
        <f ca="1">IF(C33="","",IF(OR(F33="Closed",F33=""),0,IF(N33&lt;&gt;"",MAX(0,N33-M33),MAX(0,TODAY()-IF(M33="",C33+IF(E33="Critical",Admin!$C$11,Admin!$C$10),M33)))))</f>
        <v/>
      </c>
      <c r="P33" s="2" t="str">
        <f t="shared" si="0"/>
        <v/>
      </c>
      <c r="Q33" s="2" t="str">
        <f t="shared" si="1"/>
        <v/>
      </c>
      <c r="R33" s="4"/>
      <c r="S33" s="4"/>
      <c r="T33" s="2" t="str">
        <f t="shared" si="2"/>
        <v/>
      </c>
    </row>
    <row r="34" spans="2:20" ht="14.4" x14ac:dyDescent="0.3">
      <c r="B34" s="4"/>
      <c r="C34" s="16"/>
      <c r="D34" s="4"/>
      <c r="E34" s="4"/>
      <c r="F34" s="4"/>
      <c r="G34" s="4"/>
      <c r="H34" s="4"/>
      <c r="I34" s="4"/>
      <c r="J34" s="4"/>
      <c r="K34" s="4"/>
      <c r="L34" s="4"/>
      <c r="M34" s="16"/>
      <c r="N34" s="16"/>
      <c r="O34" s="2" t="str">
        <f ca="1">IF(C34="","",IF(OR(F34="Closed",F34=""),0,IF(N34&lt;&gt;"",MAX(0,N34-M34),MAX(0,TODAY()-IF(M34="",C34+IF(E34="Critical",Admin!$C$11,Admin!$C$10),M34)))))</f>
        <v/>
      </c>
      <c r="P34" s="2" t="str">
        <f t="shared" si="0"/>
        <v/>
      </c>
      <c r="Q34" s="2" t="str">
        <f t="shared" si="1"/>
        <v/>
      </c>
      <c r="R34" s="4"/>
      <c r="S34" s="4"/>
      <c r="T34" s="2" t="str">
        <f t="shared" si="2"/>
        <v/>
      </c>
    </row>
    <row r="35" spans="2:20" ht="14.4" x14ac:dyDescent="0.3">
      <c r="B35" s="4"/>
      <c r="C35" s="16"/>
      <c r="D35" s="4"/>
      <c r="E35" s="4"/>
      <c r="F35" s="4"/>
      <c r="G35" s="4"/>
      <c r="H35" s="4"/>
      <c r="I35" s="4"/>
      <c r="J35" s="4"/>
      <c r="K35" s="4"/>
      <c r="L35" s="4"/>
      <c r="M35" s="16"/>
      <c r="N35" s="16"/>
      <c r="O35" s="2" t="str">
        <f ca="1">IF(C35="","",IF(OR(F35="Closed",F35=""),0,IF(N35&lt;&gt;"",MAX(0,N35-M35),MAX(0,TODAY()-IF(M35="",C35+IF(E35="Critical",Admin!$C$11,Admin!$C$10),M35)))))</f>
        <v/>
      </c>
      <c r="P35" s="2" t="str">
        <f t="shared" si="0"/>
        <v/>
      </c>
      <c r="Q35" s="2" t="str">
        <f t="shared" si="1"/>
        <v/>
      </c>
      <c r="R35" s="4"/>
      <c r="S35" s="4"/>
      <c r="T35" s="2" t="str">
        <f t="shared" si="2"/>
        <v/>
      </c>
    </row>
    <row r="36" spans="2:20" ht="14.4" x14ac:dyDescent="0.3">
      <c r="B36" s="4"/>
      <c r="C36" s="16"/>
      <c r="D36" s="4"/>
      <c r="E36" s="4"/>
      <c r="F36" s="4"/>
      <c r="G36" s="4"/>
      <c r="H36" s="4"/>
      <c r="I36" s="4"/>
      <c r="J36" s="4"/>
      <c r="K36" s="4"/>
      <c r="L36" s="4"/>
      <c r="M36" s="16"/>
      <c r="N36" s="16"/>
      <c r="O36" s="2" t="str">
        <f ca="1">IF(C36="","",IF(OR(F36="Closed",F36=""),0,IF(N36&lt;&gt;"",MAX(0,N36-M36),MAX(0,TODAY()-IF(M36="",C36+IF(E36="Critical",Admin!$C$11,Admin!$C$10),M36)))))</f>
        <v/>
      </c>
      <c r="P36" s="2" t="str">
        <f t="shared" si="0"/>
        <v/>
      </c>
      <c r="Q36" s="2" t="str">
        <f t="shared" si="1"/>
        <v/>
      </c>
      <c r="R36" s="4"/>
      <c r="S36" s="4"/>
      <c r="T36" s="2" t="str">
        <f t="shared" si="2"/>
        <v/>
      </c>
    </row>
    <row r="37" spans="2:20" ht="14.4" x14ac:dyDescent="0.3">
      <c r="B37" s="4"/>
      <c r="C37" s="16"/>
      <c r="D37" s="4"/>
      <c r="E37" s="4"/>
      <c r="F37" s="4"/>
      <c r="G37" s="4"/>
      <c r="H37" s="4"/>
      <c r="I37" s="4"/>
      <c r="J37" s="4"/>
      <c r="K37" s="4"/>
      <c r="L37" s="4"/>
      <c r="M37" s="16"/>
      <c r="N37" s="16"/>
      <c r="O37" s="2" t="str">
        <f ca="1">IF(C37="","",IF(OR(F37="Closed",F37=""),0,IF(N37&lt;&gt;"",MAX(0,N37-M37),MAX(0,TODAY()-IF(M37="",C37+IF(E37="Critical",Admin!$C$11,Admin!$C$10),M37)))))</f>
        <v/>
      </c>
      <c r="P37" s="2" t="str">
        <f t="shared" si="0"/>
        <v/>
      </c>
      <c r="Q37" s="2" t="str">
        <f t="shared" si="1"/>
        <v/>
      </c>
      <c r="R37" s="4"/>
      <c r="S37" s="4"/>
      <c r="T37" s="2" t="str">
        <f t="shared" si="2"/>
        <v/>
      </c>
    </row>
    <row r="38" spans="2:20" ht="14.4" x14ac:dyDescent="0.3">
      <c r="B38" s="4"/>
      <c r="C38" s="16"/>
      <c r="D38" s="4"/>
      <c r="E38" s="4"/>
      <c r="F38" s="4"/>
      <c r="G38" s="4"/>
      <c r="H38" s="4"/>
      <c r="I38" s="4"/>
      <c r="J38" s="4"/>
      <c r="K38" s="4"/>
      <c r="L38" s="4"/>
      <c r="M38" s="16"/>
      <c r="N38" s="16"/>
      <c r="O38" s="2" t="str">
        <f ca="1">IF(C38="","",IF(OR(F38="Closed",F38=""),0,IF(N38&lt;&gt;"",MAX(0,N38-M38),MAX(0,TODAY()-IF(M38="",C38+IF(E38="Critical",Admin!$C$11,Admin!$C$10),M38)))))</f>
        <v/>
      </c>
      <c r="P38" s="2" t="str">
        <f t="shared" si="0"/>
        <v/>
      </c>
      <c r="Q38" s="2" t="str">
        <f t="shared" si="1"/>
        <v/>
      </c>
      <c r="R38" s="4"/>
      <c r="S38" s="4"/>
      <c r="T38" s="2" t="str">
        <f t="shared" si="2"/>
        <v/>
      </c>
    </row>
    <row r="39" spans="2:20" ht="14.4" x14ac:dyDescent="0.3">
      <c r="B39" s="4"/>
      <c r="C39" s="16"/>
      <c r="D39" s="4"/>
      <c r="E39" s="4"/>
      <c r="F39" s="4"/>
      <c r="G39" s="4"/>
      <c r="H39" s="4"/>
      <c r="I39" s="4"/>
      <c r="J39" s="4"/>
      <c r="K39" s="4"/>
      <c r="L39" s="4"/>
      <c r="M39" s="16"/>
      <c r="N39" s="16"/>
      <c r="O39" s="2" t="str">
        <f ca="1">IF(C39="","",IF(OR(F39="Closed",F39=""),0,IF(N39&lt;&gt;"",MAX(0,N39-M39),MAX(0,TODAY()-IF(M39="",C39+IF(E39="Critical",Admin!$C$11,Admin!$C$10),M39)))))</f>
        <v/>
      </c>
      <c r="P39" s="2" t="str">
        <f t="shared" si="0"/>
        <v/>
      </c>
      <c r="Q39" s="2" t="str">
        <f t="shared" si="1"/>
        <v/>
      </c>
      <c r="R39" s="4"/>
      <c r="S39" s="4"/>
      <c r="T39" s="2" t="str">
        <f t="shared" si="2"/>
        <v/>
      </c>
    </row>
    <row r="40" spans="2:20" ht="14.4" x14ac:dyDescent="0.3">
      <c r="B40" s="4"/>
      <c r="C40" s="16"/>
      <c r="D40" s="4"/>
      <c r="E40" s="4"/>
      <c r="F40" s="4"/>
      <c r="G40" s="4"/>
      <c r="H40" s="4"/>
      <c r="I40" s="4"/>
      <c r="J40" s="4"/>
      <c r="K40" s="4"/>
      <c r="L40" s="4"/>
      <c r="M40" s="16"/>
      <c r="N40" s="16"/>
      <c r="O40" s="2" t="str">
        <f ca="1">IF(C40="","",IF(OR(F40="Closed",F40=""),0,IF(N40&lt;&gt;"",MAX(0,N40-M40),MAX(0,TODAY()-IF(M40="",C40+IF(E40="Critical",Admin!$C$11,Admin!$C$10),M40)))))</f>
        <v/>
      </c>
      <c r="P40" s="2" t="str">
        <f t="shared" si="0"/>
        <v/>
      </c>
      <c r="Q40" s="2" t="str">
        <f t="shared" si="1"/>
        <v/>
      </c>
      <c r="R40" s="4"/>
      <c r="S40" s="4"/>
      <c r="T40" s="2" t="str">
        <f t="shared" si="2"/>
        <v/>
      </c>
    </row>
    <row r="41" spans="2:20" ht="14.4" x14ac:dyDescent="0.3">
      <c r="B41" s="4"/>
      <c r="C41" s="16"/>
      <c r="D41" s="4"/>
      <c r="E41" s="4"/>
      <c r="F41" s="4"/>
      <c r="G41" s="4"/>
      <c r="H41" s="4"/>
      <c r="I41" s="4"/>
      <c r="J41" s="4"/>
      <c r="K41" s="4"/>
      <c r="L41" s="4"/>
      <c r="M41" s="16"/>
      <c r="N41" s="16"/>
      <c r="O41" s="2" t="str">
        <f ca="1">IF(C41="","",IF(OR(F41="Closed",F41=""),0,IF(N41&lt;&gt;"",MAX(0,N41-M41),MAX(0,TODAY()-IF(M41="",C41+IF(E41="Critical",Admin!$C$11,Admin!$C$10),M41)))))</f>
        <v/>
      </c>
      <c r="P41" s="2" t="str">
        <f t="shared" si="0"/>
        <v/>
      </c>
      <c r="Q41" s="2" t="str">
        <f t="shared" si="1"/>
        <v/>
      </c>
      <c r="R41" s="4"/>
      <c r="S41" s="4"/>
      <c r="T41" s="2" t="str">
        <f t="shared" si="2"/>
        <v/>
      </c>
    </row>
    <row r="42" spans="2:20" ht="14.4" x14ac:dyDescent="0.3">
      <c r="B42" s="4"/>
      <c r="C42" s="16"/>
      <c r="D42" s="4"/>
      <c r="E42" s="4"/>
      <c r="F42" s="4"/>
      <c r="G42" s="4"/>
      <c r="H42" s="4"/>
      <c r="I42" s="4"/>
      <c r="J42" s="4"/>
      <c r="K42" s="4"/>
      <c r="L42" s="4"/>
      <c r="M42" s="16"/>
      <c r="N42" s="16"/>
      <c r="O42" s="2" t="str">
        <f ca="1">IF(C42="","",IF(OR(F42="Closed",F42=""),0,IF(N42&lt;&gt;"",MAX(0,N42-M42),MAX(0,TODAY()-IF(M42="",C42+IF(E42="Critical",Admin!$C$11,Admin!$C$10),M42)))))</f>
        <v/>
      </c>
      <c r="P42" s="2" t="str">
        <f t="shared" si="0"/>
        <v/>
      </c>
      <c r="Q42" s="2" t="str">
        <f t="shared" si="1"/>
        <v/>
      </c>
      <c r="R42" s="4"/>
      <c r="S42" s="4"/>
      <c r="T42" s="2" t="str">
        <f t="shared" si="2"/>
        <v/>
      </c>
    </row>
    <row r="43" spans="2:20" ht="14.4" x14ac:dyDescent="0.3">
      <c r="B43" s="4"/>
      <c r="C43" s="16"/>
      <c r="D43" s="4"/>
      <c r="E43" s="4"/>
      <c r="F43" s="4"/>
      <c r="G43" s="4"/>
      <c r="H43" s="4"/>
      <c r="I43" s="4"/>
      <c r="J43" s="4"/>
      <c r="K43" s="4"/>
      <c r="L43" s="4"/>
      <c r="M43" s="16"/>
      <c r="N43" s="16"/>
      <c r="O43" s="2" t="str">
        <f ca="1">IF(C43="","",IF(OR(F43="Closed",F43=""),0,IF(N43&lt;&gt;"",MAX(0,N43-M43),MAX(0,TODAY()-IF(M43="",C43+IF(E43="Critical",Admin!$C$11,Admin!$C$10),M43)))))</f>
        <v/>
      </c>
      <c r="P43" s="2" t="str">
        <f t="shared" si="0"/>
        <v/>
      </c>
      <c r="Q43" s="2" t="str">
        <f t="shared" si="1"/>
        <v/>
      </c>
      <c r="R43" s="4"/>
      <c r="S43" s="4"/>
      <c r="T43" s="2" t="str">
        <f t="shared" si="2"/>
        <v/>
      </c>
    </row>
    <row r="44" spans="2:20" ht="14.4" x14ac:dyDescent="0.3">
      <c r="B44" s="4"/>
      <c r="C44" s="16"/>
      <c r="D44" s="4"/>
      <c r="E44" s="4"/>
      <c r="F44" s="4"/>
      <c r="G44" s="4"/>
      <c r="H44" s="4"/>
      <c r="I44" s="4"/>
      <c r="J44" s="4"/>
      <c r="K44" s="4"/>
      <c r="L44" s="4"/>
      <c r="M44" s="16"/>
      <c r="N44" s="16"/>
      <c r="O44" s="2" t="str">
        <f ca="1">IF(C44="","",IF(OR(F44="Closed",F44=""),0,IF(N44&lt;&gt;"",MAX(0,N44-M44),MAX(0,TODAY()-IF(M44="",C44+IF(E44="Critical",Admin!$C$11,Admin!$C$10),M44)))))</f>
        <v/>
      </c>
      <c r="P44" s="2" t="str">
        <f t="shared" si="0"/>
        <v/>
      </c>
      <c r="Q44" s="2" t="str">
        <f t="shared" si="1"/>
        <v/>
      </c>
      <c r="R44" s="4"/>
      <c r="S44" s="4"/>
      <c r="T44" s="2" t="str">
        <f t="shared" si="2"/>
        <v/>
      </c>
    </row>
    <row r="45" spans="2:20" ht="14.4" x14ac:dyDescent="0.3">
      <c r="B45" s="4"/>
      <c r="C45" s="16"/>
      <c r="D45" s="4"/>
      <c r="E45" s="4"/>
      <c r="F45" s="4"/>
      <c r="G45" s="4"/>
      <c r="H45" s="4"/>
      <c r="I45" s="4"/>
      <c r="J45" s="4"/>
      <c r="K45" s="4"/>
      <c r="L45" s="4"/>
      <c r="M45" s="16"/>
      <c r="N45" s="16"/>
      <c r="O45" s="2" t="str">
        <f ca="1">IF(C45="","",IF(OR(F45="Closed",F45=""),0,IF(N45&lt;&gt;"",MAX(0,N45-M45),MAX(0,TODAY()-IF(M45="",C45+IF(E45="Critical",Admin!$C$11,Admin!$C$10),M45)))))</f>
        <v/>
      </c>
      <c r="P45" s="2" t="str">
        <f t="shared" si="0"/>
        <v/>
      </c>
      <c r="Q45" s="2" t="str">
        <f t="shared" si="1"/>
        <v/>
      </c>
      <c r="R45" s="4"/>
      <c r="S45" s="4"/>
      <c r="T45" s="2" t="str">
        <f t="shared" si="2"/>
        <v/>
      </c>
    </row>
    <row r="46" spans="2:20" ht="14.4" x14ac:dyDescent="0.3">
      <c r="B46" s="4"/>
      <c r="C46" s="16"/>
      <c r="D46" s="4"/>
      <c r="E46" s="4"/>
      <c r="F46" s="4"/>
      <c r="G46" s="4"/>
      <c r="H46" s="4"/>
      <c r="I46" s="4"/>
      <c r="J46" s="4"/>
      <c r="K46" s="4"/>
      <c r="L46" s="4"/>
      <c r="M46" s="16"/>
      <c r="N46" s="16"/>
      <c r="O46" s="2" t="str">
        <f ca="1">IF(C46="","",IF(OR(F46="Closed",F46=""),0,IF(N46&lt;&gt;"",MAX(0,N46-M46),MAX(0,TODAY()-IF(M46="",C46+IF(E46="Critical",Admin!$C$11,Admin!$C$10),M46)))))</f>
        <v/>
      </c>
      <c r="P46" s="2" t="str">
        <f t="shared" si="0"/>
        <v/>
      </c>
      <c r="Q46" s="2" t="str">
        <f t="shared" si="1"/>
        <v/>
      </c>
      <c r="R46" s="4"/>
      <c r="S46" s="4"/>
      <c r="T46" s="2" t="str">
        <f t="shared" si="2"/>
        <v/>
      </c>
    </row>
    <row r="47" spans="2:20" ht="14.4" x14ac:dyDescent="0.3">
      <c r="B47" s="4"/>
      <c r="C47" s="16"/>
      <c r="D47" s="4"/>
      <c r="E47" s="4"/>
      <c r="F47" s="4"/>
      <c r="G47" s="4"/>
      <c r="H47" s="4"/>
      <c r="I47" s="4"/>
      <c r="J47" s="4"/>
      <c r="K47" s="4"/>
      <c r="L47" s="4"/>
      <c r="M47" s="16"/>
      <c r="N47" s="16"/>
      <c r="O47" s="2" t="str">
        <f ca="1">IF(C47="","",IF(OR(F47="Closed",F47=""),0,IF(N47&lt;&gt;"",MAX(0,N47-M47),MAX(0,TODAY()-IF(M47="",C47+IF(E47="Critical",Admin!$C$11,Admin!$C$10),M47)))))</f>
        <v/>
      </c>
      <c r="P47" s="2" t="str">
        <f t="shared" si="0"/>
        <v/>
      </c>
      <c r="Q47" s="2" t="str">
        <f t="shared" si="1"/>
        <v/>
      </c>
      <c r="R47" s="4"/>
      <c r="S47" s="4"/>
      <c r="T47" s="2" t="str">
        <f t="shared" si="2"/>
        <v/>
      </c>
    </row>
    <row r="48" spans="2:20" ht="14.4" x14ac:dyDescent="0.3">
      <c r="B48" s="4"/>
      <c r="C48" s="16"/>
      <c r="D48" s="4"/>
      <c r="E48" s="4"/>
      <c r="F48" s="4"/>
      <c r="G48" s="4"/>
      <c r="H48" s="4"/>
      <c r="I48" s="4"/>
      <c r="J48" s="4"/>
      <c r="K48" s="4"/>
      <c r="L48" s="4"/>
      <c r="M48" s="16"/>
      <c r="N48" s="16"/>
      <c r="O48" s="2" t="str">
        <f ca="1">IF(C48="","",IF(OR(F48="Closed",F48=""),0,IF(N48&lt;&gt;"",MAX(0,N48-M48),MAX(0,TODAY()-IF(M48="",C48+IF(E48="Critical",Admin!$C$11,Admin!$C$10),M48)))))</f>
        <v/>
      </c>
      <c r="P48" s="2" t="str">
        <f t="shared" si="0"/>
        <v/>
      </c>
      <c r="Q48" s="2" t="str">
        <f t="shared" si="1"/>
        <v/>
      </c>
      <c r="R48" s="4"/>
      <c r="S48" s="4"/>
      <c r="T48" s="2" t="str">
        <f t="shared" si="2"/>
        <v/>
      </c>
    </row>
    <row r="49" spans="2:20" ht="14.4" x14ac:dyDescent="0.3">
      <c r="B49" s="4"/>
      <c r="C49" s="16"/>
      <c r="D49" s="4"/>
      <c r="E49" s="4"/>
      <c r="F49" s="4"/>
      <c r="G49" s="4"/>
      <c r="H49" s="4"/>
      <c r="I49" s="4"/>
      <c r="J49" s="4"/>
      <c r="K49" s="4"/>
      <c r="L49" s="4"/>
      <c r="M49" s="16"/>
      <c r="N49" s="16"/>
      <c r="O49" s="2" t="str">
        <f ca="1">IF(C49="","",IF(OR(F49="Closed",F49=""),0,IF(N49&lt;&gt;"",MAX(0,N49-M49),MAX(0,TODAY()-IF(M49="",C49+IF(E49="Critical",Admin!$C$11,Admin!$C$10),M49)))))</f>
        <v/>
      </c>
      <c r="P49" s="2" t="str">
        <f t="shared" si="0"/>
        <v/>
      </c>
      <c r="Q49" s="2" t="str">
        <f t="shared" si="1"/>
        <v/>
      </c>
      <c r="R49" s="4"/>
      <c r="S49" s="4"/>
      <c r="T49" s="2" t="str">
        <f t="shared" si="2"/>
        <v/>
      </c>
    </row>
    <row r="50" spans="2:20" ht="14.4" x14ac:dyDescent="0.3">
      <c r="B50" s="4"/>
      <c r="C50" s="16"/>
      <c r="D50" s="4"/>
      <c r="E50" s="4"/>
      <c r="F50" s="4"/>
      <c r="G50" s="4"/>
      <c r="H50" s="4"/>
      <c r="I50" s="4"/>
      <c r="J50" s="4"/>
      <c r="K50" s="4"/>
      <c r="L50" s="4"/>
      <c r="M50" s="16"/>
      <c r="N50" s="16"/>
      <c r="O50" s="2" t="str">
        <f ca="1">IF(C50="","",IF(OR(F50="Closed",F50=""),0,IF(N50&lt;&gt;"",MAX(0,N50-M50),MAX(0,TODAY()-IF(M50="",C50+IF(E50="Critical",Admin!$C$11,Admin!$C$10),M50)))))</f>
        <v/>
      </c>
      <c r="P50" s="2" t="str">
        <f t="shared" si="0"/>
        <v/>
      </c>
      <c r="Q50" s="2" t="str">
        <f t="shared" si="1"/>
        <v/>
      </c>
      <c r="R50" s="4"/>
      <c r="S50" s="4"/>
      <c r="T50" s="2" t="str">
        <f t="shared" si="2"/>
        <v/>
      </c>
    </row>
    <row r="51" spans="2:20" ht="14.4" x14ac:dyDescent="0.3">
      <c r="B51" s="4"/>
      <c r="C51" s="16"/>
      <c r="D51" s="4"/>
      <c r="E51" s="4"/>
      <c r="F51" s="4"/>
      <c r="G51" s="4"/>
      <c r="H51" s="4"/>
      <c r="I51" s="4"/>
      <c r="J51" s="4"/>
      <c r="K51" s="4"/>
      <c r="L51" s="4"/>
      <c r="M51" s="16"/>
      <c r="N51" s="16"/>
      <c r="O51" s="2" t="str">
        <f ca="1">IF(C51="","",IF(OR(F51="Closed",F51=""),0,IF(N51&lt;&gt;"",MAX(0,N51-M51),MAX(0,TODAY()-IF(M51="",C51+IF(E51="Critical",Admin!$C$11,Admin!$C$10),M51)))))</f>
        <v/>
      </c>
      <c r="P51" s="2" t="str">
        <f t="shared" si="0"/>
        <v/>
      </c>
      <c r="Q51" s="2" t="str">
        <f t="shared" si="1"/>
        <v/>
      </c>
      <c r="R51" s="4"/>
      <c r="S51" s="4"/>
      <c r="T51" s="2" t="str">
        <f t="shared" si="2"/>
        <v/>
      </c>
    </row>
    <row r="52" spans="2:20" ht="14.4" x14ac:dyDescent="0.3">
      <c r="B52" s="4"/>
      <c r="C52" s="16"/>
      <c r="D52" s="4"/>
      <c r="E52" s="4"/>
      <c r="F52" s="4"/>
      <c r="G52" s="4"/>
      <c r="H52" s="4"/>
      <c r="I52" s="4"/>
      <c r="J52" s="4"/>
      <c r="K52" s="4"/>
      <c r="L52" s="4"/>
      <c r="M52" s="16"/>
      <c r="N52" s="16"/>
      <c r="O52" s="2" t="str">
        <f ca="1">IF(C52="","",IF(OR(F52="Closed",F52=""),0,IF(N52&lt;&gt;"",MAX(0,N52-M52),MAX(0,TODAY()-IF(M52="",C52+IF(E52="Critical",Admin!$C$11,Admin!$C$10),M52)))))</f>
        <v/>
      </c>
      <c r="P52" s="2" t="str">
        <f t="shared" si="0"/>
        <v/>
      </c>
      <c r="Q52" s="2" t="str">
        <f t="shared" si="1"/>
        <v/>
      </c>
      <c r="R52" s="4"/>
      <c r="S52" s="4"/>
      <c r="T52" s="2" t="str">
        <f t="shared" si="2"/>
        <v/>
      </c>
    </row>
    <row r="53" spans="2:20" ht="14.4" x14ac:dyDescent="0.3">
      <c r="B53" s="4"/>
      <c r="C53" s="16"/>
      <c r="D53" s="4"/>
      <c r="E53" s="4"/>
      <c r="F53" s="4"/>
      <c r="G53" s="4"/>
      <c r="H53" s="4"/>
      <c r="I53" s="4"/>
      <c r="J53" s="4"/>
      <c r="K53" s="4"/>
      <c r="L53" s="4"/>
      <c r="M53" s="16"/>
      <c r="N53" s="16"/>
      <c r="O53" s="2" t="str">
        <f ca="1">IF(C53="","",IF(OR(F53="Closed",F53=""),0,IF(N53&lt;&gt;"",MAX(0,N53-M53),MAX(0,TODAY()-IF(M53="",C53+IF(E53="Critical",Admin!$C$11,Admin!$C$10),M53)))))</f>
        <v/>
      </c>
      <c r="P53" s="2" t="str">
        <f t="shared" si="0"/>
        <v/>
      </c>
      <c r="Q53" s="2" t="str">
        <f t="shared" si="1"/>
        <v/>
      </c>
      <c r="R53" s="4"/>
      <c r="S53" s="4"/>
      <c r="T53" s="2" t="str">
        <f t="shared" si="2"/>
        <v/>
      </c>
    </row>
    <row r="54" spans="2:20" ht="14.4" x14ac:dyDescent="0.3">
      <c r="B54" s="4"/>
      <c r="C54" s="16"/>
      <c r="D54" s="4"/>
      <c r="E54" s="4"/>
      <c r="F54" s="4"/>
      <c r="G54" s="4"/>
      <c r="H54" s="4"/>
      <c r="I54" s="4"/>
      <c r="J54" s="4"/>
      <c r="K54" s="4"/>
      <c r="L54" s="4"/>
      <c r="M54" s="16"/>
      <c r="N54" s="16"/>
      <c r="O54" s="2" t="str">
        <f ca="1">IF(C54="","",IF(OR(F54="Closed",F54=""),0,IF(N54&lt;&gt;"",MAX(0,N54-M54),MAX(0,TODAY()-IF(M54="",C54+IF(E54="Critical",Admin!$C$11,Admin!$C$10),M54)))))</f>
        <v/>
      </c>
      <c r="P54" s="2" t="str">
        <f t="shared" si="0"/>
        <v/>
      </c>
      <c r="Q54" s="2" t="str">
        <f t="shared" si="1"/>
        <v/>
      </c>
      <c r="R54" s="4"/>
      <c r="S54" s="4"/>
      <c r="T54" s="2" t="str">
        <f t="shared" si="2"/>
        <v/>
      </c>
    </row>
    <row r="55" spans="2:20" ht="14.4" x14ac:dyDescent="0.3">
      <c r="B55" s="4"/>
      <c r="C55" s="16"/>
      <c r="D55" s="4"/>
      <c r="E55" s="4"/>
      <c r="F55" s="4"/>
      <c r="G55" s="4"/>
      <c r="H55" s="4"/>
      <c r="I55" s="4"/>
      <c r="J55" s="4"/>
      <c r="K55" s="4"/>
      <c r="L55" s="4"/>
      <c r="M55" s="16"/>
      <c r="N55" s="16"/>
      <c r="O55" s="2" t="str">
        <f ca="1">IF(C55="","",IF(OR(F55="Closed",F55=""),0,IF(N55&lt;&gt;"",MAX(0,N55-M55),MAX(0,TODAY()-IF(M55="",C55+IF(E55="Critical",Admin!$C$11,Admin!$C$10),M55)))))</f>
        <v/>
      </c>
      <c r="P55" s="2" t="str">
        <f t="shared" si="0"/>
        <v/>
      </c>
      <c r="Q55" s="2" t="str">
        <f t="shared" si="1"/>
        <v/>
      </c>
      <c r="R55" s="4"/>
      <c r="S55" s="4"/>
      <c r="T55" s="2" t="str">
        <f t="shared" si="2"/>
        <v/>
      </c>
    </row>
    <row r="56" spans="2:20" ht="14.4" x14ac:dyDescent="0.3">
      <c r="B56" s="4"/>
      <c r="C56" s="16"/>
      <c r="D56" s="4"/>
      <c r="E56" s="4"/>
      <c r="F56" s="4"/>
      <c r="G56" s="4"/>
      <c r="H56" s="4"/>
      <c r="I56" s="4"/>
      <c r="J56" s="4"/>
      <c r="K56" s="4"/>
      <c r="L56" s="4"/>
      <c r="M56" s="16"/>
      <c r="N56" s="16"/>
      <c r="O56" s="2" t="str">
        <f ca="1">IF(C56="","",IF(OR(F56="Closed",F56=""),0,IF(N56&lt;&gt;"",MAX(0,N56-M56),MAX(0,TODAY()-IF(M56="",C56+IF(E56="Critical",Admin!$C$11,Admin!$C$10),M56)))))</f>
        <v/>
      </c>
      <c r="P56" s="2" t="str">
        <f t="shared" si="0"/>
        <v/>
      </c>
      <c r="Q56" s="2" t="str">
        <f t="shared" si="1"/>
        <v/>
      </c>
      <c r="R56" s="4"/>
      <c r="S56" s="4"/>
      <c r="T56" s="2" t="str">
        <f t="shared" si="2"/>
        <v/>
      </c>
    </row>
    <row r="57" spans="2:20" ht="14.4" x14ac:dyDescent="0.3">
      <c r="B57" s="4"/>
      <c r="C57" s="16"/>
      <c r="D57" s="4"/>
      <c r="E57" s="4"/>
      <c r="F57" s="4"/>
      <c r="G57" s="4"/>
      <c r="H57" s="4"/>
      <c r="I57" s="4"/>
      <c r="J57" s="4"/>
      <c r="K57" s="4"/>
      <c r="L57" s="4"/>
      <c r="M57" s="16"/>
      <c r="N57" s="16"/>
      <c r="O57" s="2" t="str">
        <f ca="1">IF(C57="","",IF(OR(F57="Closed",F57=""),0,IF(N57&lt;&gt;"",MAX(0,N57-M57),MAX(0,TODAY()-IF(M57="",C57+IF(E57="Critical",Admin!$C$11,Admin!$C$10),M57)))))</f>
        <v/>
      </c>
      <c r="P57" s="2" t="str">
        <f t="shared" si="0"/>
        <v/>
      </c>
      <c r="Q57" s="2" t="str">
        <f t="shared" si="1"/>
        <v/>
      </c>
      <c r="R57" s="4"/>
      <c r="S57" s="4"/>
      <c r="T57" s="2" t="str">
        <f t="shared" si="2"/>
        <v/>
      </c>
    </row>
    <row r="58" spans="2:20" ht="14.4" x14ac:dyDescent="0.3">
      <c r="B58" s="4"/>
      <c r="C58" s="16"/>
      <c r="D58" s="4"/>
      <c r="E58" s="4"/>
      <c r="F58" s="4"/>
      <c r="G58" s="4"/>
      <c r="H58" s="4"/>
      <c r="I58" s="4"/>
      <c r="J58" s="4"/>
      <c r="K58" s="4"/>
      <c r="L58" s="4"/>
      <c r="M58" s="16"/>
      <c r="N58" s="16"/>
      <c r="O58" s="2" t="str">
        <f ca="1">IF(C58="","",IF(OR(F58="Closed",F58=""),0,IF(N58&lt;&gt;"",MAX(0,N58-M58),MAX(0,TODAY()-IF(M58="",C58+IF(E58="Critical",Admin!$C$11,Admin!$C$10),M58)))))</f>
        <v/>
      </c>
      <c r="P58" s="2" t="str">
        <f t="shared" si="0"/>
        <v/>
      </c>
      <c r="Q58" s="2" t="str">
        <f t="shared" si="1"/>
        <v/>
      </c>
      <c r="R58" s="4"/>
      <c r="S58" s="4"/>
      <c r="T58" s="2" t="str">
        <f t="shared" si="2"/>
        <v/>
      </c>
    </row>
    <row r="59" spans="2:20" ht="14.4" x14ac:dyDescent="0.3">
      <c r="B59" s="4"/>
      <c r="C59" s="16"/>
      <c r="D59" s="4"/>
      <c r="E59" s="4"/>
      <c r="F59" s="4"/>
      <c r="G59" s="4"/>
      <c r="H59" s="4"/>
      <c r="I59" s="4"/>
      <c r="J59" s="4"/>
      <c r="K59" s="4"/>
      <c r="L59" s="4"/>
      <c r="M59" s="16"/>
      <c r="N59" s="16"/>
      <c r="O59" s="2" t="str">
        <f ca="1">IF(C59="","",IF(OR(F59="Closed",F59=""),0,IF(N59&lt;&gt;"",MAX(0,N59-M59),MAX(0,TODAY()-IF(M59="",C59+IF(E59="Critical",Admin!$C$11,Admin!$C$10),M59)))))</f>
        <v/>
      </c>
      <c r="P59" s="2" t="str">
        <f t="shared" si="0"/>
        <v/>
      </c>
      <c r="Q59" s="2" t="str">
        <f t="shared" si="1"/>
        <v/>
      </c>
      <c r="R59" s="4"/>
      <c r="S59" s="4"/>
      <c r="T59" s="2" t="str">
        <f t="shared" si="2"/>
        <v/>
      </c>
    </row>
    <row r="60" spans="2:20" ht="14.4" x14ac:dyDescent="0.3">
      <c r="B60" s="4"/>
      <c r="C60" s="16"/>
      <c r="D60" s="4"/>
      <c r="E60" s="4"/>
      <c r="F60" s="4"/>
      <c r="G60" s="4"/>
      <c r="H60" s="4"/>
      <c r="I60" s="4"/>
      <c r="J60" s="4"/>
      <c r="K60" s="4"/>
      <c r="L60" s="4"/>
      <c r="M60" s="16"/>
      <c r="N60" s="16"/>
      <c r="O60" s="2" t="str">
        <f ca="1">IF(C60="","",IF(OR(F60="Closed",F60=""),0,IF(N60&lt;&gt;"",MAX(0,N60-M60),MAX(0,TODAY()-IF(M60="",C60+IF(E60="Critical",Admin!$C$11,Admin!$C$10),M60)))))</f>
        <v/>
      </c>
      <c r="P60" s="2" t="str">
        <f t="shared" si="0"/>
        <v/>
      </c>
      <c r="Q60" s="2" t="str">
        <f t="shared" si="1"/>
        <v/>
      </c>
      <c r="R60" s="4"/>
      <c r="S60" s="4"/>
      <c r="T60" s="2" t="str">
        <f t="shared" si="2"/>
        <v/>
      </c>
    </row>
    <row r="61" spans="2:20" ht="14.4" x14ac:dyDescent="0.3">
      <c r="B61" s="4"/>
      <c r="C61" s="16"/>
      <c r="D61" s="4"/>
      <c r="E61" s="4"/>
      <c r="F61" s="4"/>
      <c r="G61" s="4"/>
      <c r="H61" s="4"/>
      <c r="I61" s="4"/>
      <c r="J61" s="4"/>
      <c r="K61" s="4"/>
      <c r="L61" s="4"/>
      <c r="M61" s="16"/>
      <c r="N61" s="16"/>
      <c r="O61" s="2" t="str">
        <f ca="1">IF(C61="","",IF(OR(F61="Closed",F61=""),0,IF(N61&lt;&gt;"",MAX(0,N61-M61),MAX(0,TODAY()-IF(M61="",C61+IF(E61="Critical",Admin!$C$11,Admin!$C$10),M61)))))</f>
        <v/>
      </c>
      <c r="P61" s="2" t="str">
        <f t="shared" si="0"/>
        <v/>
      </c>
      <c r="Q61" s="2" t="str">
        <f t="shared" si="1"/>
        <v/>
      </c>
      <c r="R61" s="4"/>
      <c r="S61" s="4"/>
      <c r="T61" s="2" t="str">
        <f t="shared" si="2"/>
        <v/>
      </c>
    </row>
    <row r="62" spans="2:20" ht="14.4" x14ac:dyDescent="0.3">
      <c r="B62" s="4"/>
      <c r="C62" s="16"/>
      <c r="D62" s="4"/>
      <c r="E62" s="4"/>
      <c r="F62" s="4"/>
      <c r="G62" s="4"/>
      <c r="H62" s="4"/>
      <c r="I62" s="4"/>
      <c r="J62" s="4"/>
      <c r="K62" s="4"/>
      <c r="L62" s="4"/>
      <c r="M62" s="16"/>
      <c r="N62" s="16"/>
      <c r="O62" s="2" t="str">
        <f ca="1">IF(C62="","",IF(OR(F62="Closed",F62=""),0,IF(N62&lt;&gt;"",MAX(0,N62-M62),MAX(0,TODAY()-IF(M62="",C62+IF(E62="Critical",Admin!$C$11,Admin!$C$10),M62)))))</f>
        <v/>
      </c>
      <c r="P62" s="2" t="str">
        <f t="shared" si="0"/>
        <v/>
      </c>
      <c r="Q62" s="2" t="str">
        <f t="shared" si="1"/>
        <v/>
      </c>
      <c r="R62" s="4"/>
      <c r="S62" s="4"/>
      <c r="T62" s="2" t="str">
        <f t="shared" si="2"/>
        <v/>
      </c>
    </row>
    <row r="63" spans="2:20" ht="14.4" x14ac:dyDescent="0.3">
      <c r="B63" s="4"/>
      <c r="C63" s="16"/>
      <c r="D63" s="4"/>
      <c r="E63" s="4"/>
      <c r="F63" s="4"/>
      <c r="G63" s="4"/>
      <c r="H63" s="4"/>
      <c r="I63" s="4"/>
      <c r="J63" s="4"/>
      <c r="K63" s="4"/>
      <c r="L63" s="4"/>
      <c r="M63" s="16"/>
      <c r="N63" s="16"/>
      <c r="O63" s="2" t="str">
        <f ca="1">IF(C63="","",IF(OR(F63="Closed",F63=""),0,IF(N63&lt;&gt;"",MAX(0,N63-M63),MAX(0,TODAY()-IF(M63="",C63+IF(E63="Critical",Admin!$C$11,Admin!$C$10),M63)))))</f>
        <v/>
      </c>
      <c r="P63" s="2" t="str">
        <f t="shared" si="0"/>
        <v/>
      </c>
      <c r="Q63" s="2" t="str">
        <f t="shared" si="1"/>
        <v/>
      </c>
      <c r="R63" s="4"/>
      <c r="S63" s="4"/>
      <c r="T63" s="2" t="str">
        <f t="shared" si="2"/>
        <v/>
      </c>
    </row>
    <row r="64" spans="2:20" ht="14.4" x14ac:dyDescent="0.3">
      <c r="B64" s="4"/>
      <c r="C64" s="16"/>
      <c r="D64" s="4"/>
      <c r="E64" s="4"/>
      <c r="F64" s="4"/>
      <c r="G64" s="4"/>
      <c r="H64" s="4"/>
      <c r="I64" s="4"/>
      <c r="J64" s="4"/>
      <c r="K64" s="4"/>
      <c r="L64" s="4"/>
      <c r="M64" s="16"/>
      <c r="N64" s="16"/>
      <c r="O64" s="2" t="str">
        <f ca="1">IF(C64="","",IF(OR(F64="Closed",F64=""),0,IF(N64&lt;&gt;"",MAX(0,N64-M64),MAX(0,TODAY()-IF(M64="",C64+IF(E64="Critical",Admin!$C$11,Admin!$C$10),M64)))))</f>
        <v/>
      </c>
      <c r="P64" s="2" t="str">
        <f t="shared" si="0"/>
        <v/>
      </c>
      <c r="Q64" s="2" t="str">
        <f t="shared" si="1"/>
        <v/>
      </c>
      <c r="R64" s="4"/>
      <c r="S64" s="4"/>
      <c r="T64" s="2" t="str">
        <f t="shared" si="2"/>
        <v/>
      </c>
    </row>
    <row r="65" spans="2:20" ht="14.4" x14ac:dyDescent="0.3">
      <c r="B65" s="4"/>
      <c r="C65" s="16"/>
      <c r="D65" s="4"/>
      <c r="E65" s="4"/>
      <c r="F65" s="4"/>
      <c r="G65" s="4"/>
      <c r="H65" s="4"/>
      <c r="I65" s="4"/>
      <c r="J65" s="4"/>
      <c r="K65" s="4"/>
      <c r="L65" s="4"/>
      <c r="M65" s="16"/>
      <c r="N65" s="16"/>
      <c r="O65" s="2" t="str">
        <f ca="1">IF(C65="","",IF(OR(F65="Closed",F65=""),0,IF(N65&lt;&gt;"",MAX(0,N65-M65),MAX(0,TODAY()-IF(M65="",C65+IF(E65="Critical",Admin!$C$11,Admin!$C$10),M65)))))</f>
        <v/>
      </c>
      <c r="P65" s="2" t="str">
        <f t="shared" si="0"/>
        <v/>
      </c>
      <c r="Q65" s="2" t="str">
        <f t="shared" si="1"/>
        <v/>
      </c>
      <c r="R65" s="4"/>
      <c r="S65" s="4"/>
      <c r="T65" s="2" t="str">
        <f t="shared" si="2"/>
        <v/>
      </c>
    </row>
    <row r="66" spans="2:20" ht="14.4" x14ac:dyDescent="0.3">
      <c r="B66" s="4"/>
      <c r="C66" s="16"/>
      <c r="D66" s="4"/>
      <c r="E66" s="4"/>
      <c r="F66" s="4"/>
      <c r="G66" s="4"/>
      <c r="H66" s="4"/>
      <c r="I66" s="4"/>
      <c r="J66" s="4"/>
      <c r="K66" s="4"/>
      <c r="L66" s="4"/>
      <c r="M66" s="16"/>
      <c r="N66" s="16"/>
      <c r="O66" s="2" t="str">
        <f ca="1">IF(C66="","",IF(OR(F66="Closed",F66=""),0,IF(N66&lt;&gt;"",MAX(0,N66-M66),MAX(0,TODAY()-IF(M66="",C66+IF(E66="Critical",Admin!$C$11,Admin!$C$10),M66)))))</f>
        <v/>
      </c>
      <c r="P66" s="2" t="str">
        <f t="shared" si="0"/>
        <v/>
      </c>
      <c r="Q66" s="2" t="str">
        <f t="shared" si="1"/>
        <v/>
      </c>
      <c r="R66" s="4"/>
      <c r="S66" s="4"/>
      <c r="T66" s="2" t="str">
        <f t="shared" si="2"/>
        <v/>
      </c>
    </row>
    <row r="67" spans="2:20" ht="14.4" x14ac:dyDescent="0.3">
      <c r="B67" s="4"/>
      <c r="C67" s="16"/>
      <c r="D67" s="4"/>
      <c r="E67" s="4"/>
      <c r="F67" s="4"/>
      <c r="G67" s="4"/>
      <c r="H67" s="4"/>
      <c r="I67" s="4"/>
      <c r="J67" s="4"/>
      <c r="K67" s="4"/>
      <c r="L67" s="4"/>
      <c r="M67" s="16"/>
      <c r="N67" s="16"/>
      <c r="O67" s="2" t="str">
        <f ca="1">IF(C67="","",IF(OR(F67="Closed",F67=""),0,IF(N67&lt;&gt;"",MAX(0,N67-M67),MAX(0,TODAY()-IF(M67="",C67+IF(E67="Critical",Admin!$C$11,Admin!$C$10),M67)))))</f>
        <v/>
      </c>
      <c r="P67" s="2" t="str">
        <f t="shared" si="0"/>
        <v/>
      </c>
      <c r="Q67" s="2" t="str">
        <f t="shared" si="1"/>
        <v/>
      </c>
      <c r="R67" s="4"/>
      <c r="S67" s="4"/>
      <c r="T67" s="2" t="str">
        <f t="shared" si="2"/>
        <v/>
      </c>
    </row>
    <row r="68" spans="2:20" ht="14.4" x14ac:dyDescent="0.3">
      <c r="B68" s="4"/>
      <c r="C68" s="16"/>
      <c r="D68" s="4"/>
      <c r="E68" s="4"/>
      <c r="F68" s="4"/>
      <c r="G68" s="4"/>
      <c r="H68" s="4"/>
      <c r="I68" s="4"/>
      <c r="J68" s="4"/>
      <c r="K68" s="4"/>
      <c r="L68" s="4"/>
      <c r="M68" s="16"/>
      <c r="N68" s="16"/>
      <c r="O68" s="2" t="str">
        <f ca="1">IF(C68="","",IF(OR(F68="Closed",F68=""),0,IF(N68&lt;&gt;"",MAX(0,N68-M68),MAX(0,TODAY()-IF(M68="",C68+IF(E68="Critical",Admin!$C$11,Admin!$C$10),M68)))))</f>
        <v/>
      </c>
      <c r="P68" s="2" t="str">
        <f t="shared" si="0"/>
        <v/>
      </c>
      <c r="Q68" s="2" t="str">
        <f t="shared" si="1"/>
        <v/>
      </c>
      <c r="R68" s="4"/>
      <c r="S68" s="4"/>
      <c r="T68" s="2" t="str">
        <f t="shared" si="2"/>
        <v/>
      </c>
    </row>
    <row r="69" spans="2:20" ht="14.4" x14ac:dyDescent="0.3">
      <c r="B69" s="4"/>
      <c r="C69" s="16"/>
      <c r="D69" s="4"/>
      <c r="E69" s="4"/>
      <c r="F69" s="4"/>
      <c r="G69" s="4"/>
      <c r="H69" s="4"/>
      <c r="I69" s="4"/>
      <c r="J69" s="4"/>
      <c r="K69" s="4"/>
      <c r="L69" s="4"/>
      <c r="M69" s="16"/>
      <c r="N69" s="16"/>
      <c r="O69" s="2" t="str">
        <f ca="1">IF(C69="","",IF(OR(F69="Closed",F69=""),0,IF(N69&lt;&gt;"",MAX(0,N69-M69),MAX(0,TODAY()-IF(M69="",C69+IF(E69="Critical",Admin!$C$11,Admin!$C$10),M69)))))</f>
        <v/>
      </c>
      <c r="P69" s="2" t="str">
        <f t="shared" ref="P69:P132" si="3">IF(D69="","",COUNTIFS($D$5:$D$250,D69,$I$5:$I$250,I69,$G$5:$G$250,G69))</f>
        <v/>
      </c>
      <c r="Q69" s="2" t="str">
        <f t="shared" ref="Q69:Q132" si="4">IF(P69="","",IF(P69&gt;=3,"REPEAT ≥3",IF(P69=2,"REPEAT","Unique")))</f>
        <v/>
      </c>
      <c r="R69" s="4"/>
      <c r="S69" s="4"/>
      <c r="T69" s="2" t="str">
        <f t="shared" ref="T69:T132" si="5">IF(E69="","",IF(E69="Critical",25,IF(E69="High",16,IF(E69="Medium",9,4))))</f>
        <v/>
      </c>
    </row>
    <row r="70" spans="2:20" ht="14.4" x14ac:dyDescent="0.3">
      <c r="B70" s="4"/>
      <c r="C70" s="16"/>
      <c r="D70" s="4"/>
      <c r="E70" s="4"/>
      <c r="F70" s="4"/>
      <c r="G70" s="4"/>
      <c r="H70" s="4"/>
      <c r="I70" s="4"/>
      <c r="J70" s="4"/>
      <c r="K70" s="4"/>
      <c r="L70" s="4"/>
      <c r="M70" s="16"/>
      <c r="N70" s="16"/>
      <c r="O70" s="2" t="str">
        <f ca="1">IF(C70="","",IF(OR(F70="Closed",F70=""),0,IF(N70&lt;&gt;"",MAX(0,N70-M70),MAX(0,TODAY()-IF(M70="",C70+IF(E70="Critical",Admin!$C$11,Admin!$C$10),M70)))))</f>
        <v/>
      </c>
      <c r="P70" s="2" t="str">
        <f t="shared" si="3"/>
        <v/>
      </c>
      <c r="Q70" s="2" t="str">
        <f t="shared" si="4"/>
        <v/>
      </c>
      <c r="R70" s="4"/>
      <c r="S70" s="4"/>
      <c r="T70" s="2" t="str">
        <f t="shared" si="5"/>
        <v/>
      </c>
    </row>
    <row r="71" spans="2:20" ht="14.4" x14ac:dyDescent="0.3">
      <c r="B71" s="4"/>
      <c r="C71" s="16"/>
      <c r="D71" s="4"/>
      <c r="E71" s="4"/>
      <c r="F71" s="4"/>
      <c r="G71" s="4"/>
      <c r="H71" s="4"/>
      <c r="I71" s="4"/>
      <c r="J71" s="4"/>
      <c r="K71" s="4"/>
      <c r="L71" s="4"/>
      <c r="M71" s="16"/>
      <c r="N71" s="16"/>
      <c r="O71" s="2" t="str">
        <f ca="1">IF(C71="","",IF(OR(F71="Closed",F71=""),0,IF(N71&lt;&gt;"",MAX(0,N71-M71),MAX(0,TODAY()-IF(M71="",C71+IF(E71="Critical",Admin!$C$11,Admin!$C$10),M71)))))</f>
        <v/>
      </c>
      <c r="P71" s="2" t="str">
        <f t="shared" si="3"/>
        <v/>
      </c>
      <c r="Q71" s="2" t="str">
        <f t="shared" si="4"/>
        <v/>
      </c>
      <c r="R71" s="4"/>
      <c r="S71" s="4"/>
      <c r="T71" s="2" t="str">
        <f t="shared" si="5"/>
        <v/>
      </c>
    </row>
    <row r="72" spans="2:20" ht="14.4" x14ac:dyDescent="0.3">
      <c r="B72" s="4"/>
      <c r="C72" s="16"/>
      <c r="D72" s="4"/>
      <c r="E72" s="4"/>
      <c r="F72" s="4"/>
      <c r="G72" s="4"/>
      <c r="H72" s="4"/>
      <c r="I72" s="4"/>
      <c r="J72" s="4"/>
      <c r="K72" s="4"/>
      <c r="L72" s="4"/>
      <c r="M72" s="16"/>
      <c r="N72" s="16"/>
      <c r="O72" s="2" t="str">
        <f ca="1">IF(C72="","",IF(OR(F72="Closed",F72=""),0,IF(N72&lt;&gt;"",MAX(0,N72-M72),MAX(0,TODAY()-IF(M72="",C72+IF(E72="Critical",Admin!$C$11,Admin!$C$10),M72)))))</f>
        <v/>
      </c>
      <c r="P72" s="2" t="str">
        <f t="shared" si="3"/>
        <v/>
      </c>
      <c r="Q72" s="2" t="str">
        <f t="shared" si="4"/>
        <v/>
      </c>
      <c r="R72" s="4"/>
      <c r="S72" s="4"/>
      <c r="T72" s="2" t="str">
        <f t="shared" si="5"/>
        <v/>
      </c>
    </row>
    <row r="73" spans="2:20" ht="14.4" x14ac:dyDescent="0.3">
      <c r="B73" s="4"/>
      <c r="C73" s="16"/>
      <c r="D73" s="4"/>
      <c r="E73" s="4"/>
      <c r="F73" s="4"/>
      <c r="G73" s="4"/>
      <c r="H73" s="4"/>
      <c r="I73" s="4"/>
      <c r="J73" s="4"/>
      <c r="K73" s="4"/>
      <c r="L73" s="4"/>
      <c r="M73" s="16"/>
      <c r="N73" s="16"/>
      <c r="O73" s="2" t="str">
        <f ca="1">IF(C73="","",IF(OR(F73="Closed",F73=""),0,IF(N73&lt;&gt;"",MAX(0,N73-M73),MAX(0,TODAY()-IF(M73="",C73+IF(E73="Critical",Admin!$C$11,Admin!$C$10),M73)))))</f>
        <v/>
      </c>
      <c r="P73" s="2" t="str">
        <f t="shared" si="3"/>
        <v/>
      </c>
      <c r="Q73" s="2" t="str">
        <f t="shared" si="4"/>
        <v/>
      </c>
      <c r="R73" s="4"/>
      <c r="S73" s="4"/>
      <c r="T73" s="2" t="str">
        <f t="shared" si="5"/>
        <v/>
      </c>
    </row>
    <row r="74" spans="2:20" ht="14.4" x14ac:dyDescent="0.3">
      <c r="B74" s="4"/>
      <c r="C74" s="16"/>
      <c r="D74" s="4"/>
      <c r="E74" s="4"/>
      <c r="F74" s="4"/>
      <c r="G74" s="4"/>
      <c r="H74" s="4"/>
      <c r="I74" s="4"/>
      <c r="J74" s="4"/>
      <c r="K74" s="4"/>
      <c r="L74" s="4"/>
      <c r="M74" s="16"/>
      <c r="N74" s="16"/>
      <c r="O74" s="2" t="str">
        <f ca="1">IF(C74="","",IF(OR(F74="Closed",F74=""),0,IF(N74&lt;&gt;"",MAX(0,N74-M74),MAX(0,TODAY()-IF(M74="",C74+IF(E74="Critical",Admin!$C$11,Admin!$C$10),M74)))))</f>
        <v/>
      </c>
      <c r="P74" s="2" t="str">
        <f t="shared" si="3"/>
        <v/>
      </c>
      <c r="Q74" s="2" t="str">
        <f t="shared" si="4"/>
        <v/>
      </c>
      <c r="R74" s="4"/>
      <c r="S74" s="4"/>
      <c r="T74" s="2" t="str">
        <f t="shared" si="5"/>
        <v/>
      </c>
    </row>
    <row r="75" spans="2:20" ht="14.4" x14ac:dyDescent="0.3">
      <c r="B75" s="4"/>
      <c r="C75" s="16"/>
      <c r="D75" s="4"/>
      <c r="E75" s="4"/>
      <c r="F75" s="4"/>
      <c r="G75" s="4"/>
      <c r="H75" s="4"/>
      <c r="I75" s="4"/>
      <c r="J75" s="4"/>
      <c r="K75" s="4"/>
      <c r="L75" s="4"/>
      <c r="M75" s="16"/>
      <c r="N75" s="16"/>
      <c r="O75" s="2" t="str">
        <f ca="1">IF(C75="","",IF(OR(F75="Closed",F75=""),0,IF(N75&lt;&gt;"",MAX(0,N75-M75),MAX(0,TODAY()-IF(M75="",C75+IF(E75="Critical",Admin!$C$11,Admin!$C$10),M75)))))</f>
        <v/>
      </c>
      <c r="P75" s="2" t="str">
        <f t="shared" si="3"/>
        <v/>
      </c>
      <c r="Q75" s="2" t="str">
        <f t="shared" si="4"/>
        <v/>
      </c>
      <c r="R75" s="4"/>
      <c r="S75" s="4"/>
      <c r="T75" s="2" t="str">
        <f t="shared" si="5"/>
        <v/>
      </c>
    </row>
    <row r="76" spans="2:20" ht="14.4" x14ac:dyDescent="0.3">
      <c r="B76" s="4"/>
      <c r="C76" s="16"/>
      <c r="D76" s="4"/>
      <c r="E76" s="4"/>
      <c r="F76" s="4"/>
      <c r="G76" s="4"/>
      <c r="H76" s="4"/>
      <c r="I76" s="4"/>
      <c r="J76" s="4"/>
      <c r="K76" s="4"/>
      <c r="L76" s="4"/>
      <c r="M76" s="16"/>
      <c r="N76" s="16"/>
      <c r="O76" s="2" t="str">
        <f ca="1">IF(C76="","",IF(OR(F76="Closed",F76=""),0,IF(N76&lt;&gt;"",MAX(0,N76-M76),MAX(0,TODAY()-IF(M76="",C76+IF(E76="Critical",Admin!$C$11,Admin!$C$10),M76)))))</f>
        <v/>
      </c>
      <c r="P76" s="2" t="str">
        <f t="shared" si="3"/>
        <v/>
      </c>
      <c r="Q76" s="2" t="str">
        <f t="shared" si="4"/>
        <v/>
      </c>
      <c r="R76" s="4"/>
      <c r="S76" s="4"/>
      <c r="T76" s="2" t="str">
        <f t="shared" si="5"/>
        <v/>
      </c>
    </row>
    <row r="77" spans="2:20" ht="14.4" x14ac:dyDescent="0.3">
      <c r="B77" s="4"/>
      <c r="C77" s="16"/>
      <c r="D77" s="4"/>
      <c r="E77" s="4"/>
      <c r="F77" s="4"/>
      <c r="G77" s="4"/>
      <c r="H77" s="4"/>
      <c r="I77" s="4"/>
      <c r="J77" s="4"/>
      <c r="K77" s="4"/>
      <c r="L77" s="4"/>
      <c r="M77" s="16"/>
      <c r="N77" s="16"/>
      <c r="O77" s="2" t="str">
        <f ca="1">IF(C77="","",IF(OR(F77="Closed",F77=""),0,IF(N77&lt;&gt;"",MAX(0,N77-M77),MAX(0,TODAY()-IF(M77="",C77+IF(E77="Critical",Admin!$C$11,Admin!$C$10),M77)))))</f>
        <v/>
      </c>
      <c r="P77" s="2" t="str">
        <f t="shared" si="3"/>
        <v/>
      </c>
      <c r="Q77" s="2" t="str">
        <f t="shared" si="4"/>
        <v/>
      </c>
      <c r="R77" s="4"/>
      <c r="S77" s="4"/>
      <c r="T77" s="2" t="str">
        <f t="shared" si="5"/>
        <v/>
      </c>
    </row>
    <row r="78" spans="2:20" ht="14.4" x14ac:dyDescent="0.3">
      <c r="B78" s="4"/>
      <c r="C78" s="16"/>
      <c r="D78" s="4"/>
      <c r="E78" s="4"/>
      <c r="F78" s="4"/>
      <c r="G78" s="4"/>
      <c r="H78" s="4"/>
      <c r="I78" s="4"/>
      <c r="J78" s="4"/>
      <c r="K78" s="4"/>
      <c r="L78" s="4"/>
      <c r="M78" s="16"/>
      <c r="N78" s="16"/>
      <c r="O78" s="2" t="str">
        <f ca="1">IF(C78="","",IF(OR(F78="Closed",F78=""),0,IF(N78&lt;&gt;"",MAX(0,N78-M78),MAX(0,TODAY()-IF(M78="",C78+IF(E78="Critical",Admin!$C$11,Admin!$C$10),M78)))))</f>
        <v/>
      </c>
      <c r="P78" s="2" t="str">
        <f t="shared" si="3"/>
        <v/>
      </c>
      <c r="Q78" s="2" t="str">
        <f t="shared" si="4"/>
        <v/>
      </c>
      <c r="R78" s="4"/>
      <c r="S78" s="4"/>
      <c r="T78" s="2" t="str">
        <f t="shared" si="5"/>
        <v/>
      </c>
    </row>
    <row r="79" spans="2:20" ht="14.4" x14ac:dyDescent="0.3">
      <c r="B79" s="4"/>
      <c r="C79" s="16"/>
      <c r="D79" s="4"/>
      <c r="E79" s="4"/>
      <c r="F79" s="4"/>
      <c r="G79" s="4"/>
      <c r="H79" s="4"/>
      <c r="I79" s="4"/>
      <c r="J79" s="4"/>
      <c r="K79" s="4"/>
      <c r="L79" s="4"/>
      <c r="M79" s="16"/>
      <c r="N79" s="16"/>
      <c r="O79" s="2" t="str">
        <f ca="1">IF(C79="","",IF(OR(F79="Closed",F79=""),0,IF(N79&lt;&gt;"",MAX(0,N79-M79),MAX(0,TODAY()-IF(M79="",C79+IF(E79="Critical",Admin!$C$11,Admin!$C$10),M79)))))</f>
        <v/>
      </c>
      <c r="P79" s="2" t="str">
        <f t="shared" si="3"/>
        <v/>
      </c>
      <c r="Q79" s="2" t="str">
        <f t="shared" si="4"/>
        <v/>
      </c>
      <c r="R79" s="4"/>
      <c r="S79" s="4"/>
      <c r="T79" s="2" t="str">
        <f t="shared" si="5"/>
        <v/>
      </c>
    </row>
    <row r="80" spans="2:20" ht="14.4" x14ac:dyDescent="0.3">
      <c r="B80" s="4"/>
      <c r="C80" s="16"/>
      <c r="D80" s="4"/>
      <c r="E80" s="4"/>
      <c r="F80" s="4"/>
      <c r="G80" s="4"/>
      <c r="H80" s="4"/>
      <c r="I80" s="4"/>
      <c r="J80" s="4"/>
      <c r="K80" s="4"/>
      <c r="L80" s="4"/>
      <c r="M80" s="16"/>
      <c r="N80" s="16"/>
      <c r="O80" s="2" t="str">
        <f ca="1">IF(C80="","",IF(OR(F80="Closed",F80=""),0,IF(N80&lt;&gt;"",MAX(0,N80-M80),MAX(0,TODAY()-IF(M80="",C80+IF(E80="Critical",Admin!$C$11,Admin!$C$10),M80)))))</f>
        <v/>
      </c>
      <c r="P80" s="2" t="str">
        <f t="shared" si="3"/>
        <v/>
      </c>
      <c r="Q80" s="2" t="str">
        <f t="shared" si="4"/>
        <v/>
      </c>
      <c r="R80" s="4"/>
      <c r="S80" s="4"/>
      <c r="T80" s="2" t="str">
        <f t="shared" si="5"/>
        <v/>
      </c>
    </row>
    <row r="81" spans="2:20" ht="14.4" x14ac:dyDescent="0.3">
      <c r="B81" s="4"/>
      <c r="C81" s="16"/>
      <c r="D81" s="4"/>
      <c r="E81" s="4"/>
      <c r="F81" s="4"/>
      <c r="G81" s="4"/>
      <c r="H81" s="4"/>
      <c r="I81" s="4"/>
      <c r="J81" s="4"/>
      <c r="K81" s="4"/>
      <c r="L81" s="4"/>
      <c r="M81" s="16"/>
      <c r="N81" s="16"/>
      <c r="O81" s="2" t="str">
        <f ca="1">IF(C81="","",IF(OR(F81="Closed",F81=""),0,IF(N81&lt;&gt;"",MAX(0,N81-M81),MAX(0,TODAY()-IF(M81="",C81+IF(E81="Critical",Admin!$C$11,Admin!$C$10),M81)))))</f>
        <v/>
      </c>
      <c r="P81" s="2" t="str">
        <f t="shared" si="3"/>
        <v/>
      </c>
      <c r="Q81" s="2" t="str">
        <f t="shared" si="4"/>
        <v/>
      </c>
      <c r="R81" s="4"/>
      <c r="S81" s="4"/>
      <c r="T81" s="2" t="str">
        <f t="shared" si="5"/>
        <v/>
      </c>
    </row>
    <row r="82" spans="2:20" ht="14.4" x14ac:dyDescent="0.3">
      <c r="B82" s="4"/>
      <c r="C82" s="16"/>
      <c r="D82" s="4"/>
      <c r="E82" s="4"/>
      <c r="F82" s="4"/>
      <c r="G82" s="4"/>
      <c r="H82" s="4"/>
      <c r="I82" s="4"/>
      <c r="J82" s="4"/>
      <c r="K82" s="4"/>
      <c r="L82" s="4"/>
      <c r="M82" s="16"/>
      <c r="N82" s="16"/>
      <c r="O82" s="2" t="str">
        <f ca="1">IF(C82="","",IF(OR(F82="Closed",F82=""),0,IF(N82&lt;&gt;"",MAX(0,N82-M82),MAX(0,TODAY()-IF(M82="",C82+IF(E82="Critical",Admin!$C$11,Admin!$C$10),M82)))))</f>
        <v/>
      </c>
      <c r="P82" s="2" t="str">
        <f t="shared" si="3"/>
        <v/>
      </c>
      <c r="Q82" s="2" t="str">
        <f t="shared" si="4"/>
        <v/>
      </c>
      <c r="R82" s="4"/>
      <c r="S82" s="4"/>
      <c r="T82" s="2" t="str">
        <f t="shared" si="5"/>
        <v/>
      </c>
    </row>
    <row r="83" spans="2:20" ht="14.4" x14ac:dyDescent="0.3">
      <c r="B83" s="4"/>
      <c r="C83" s="16"/>
      <c r="D83" s="4"/>
      <c r="E83" s="4"/>
      <c r="F83" s="4"/>
      <c r="G83" s="4"/>
      <c r="H83" s="4"/>
      <c r="I83" s="4"/>
      <c r="J83" s="4"/>
      <c r="K83" s="4"/>
      <c r="L83" s="4"/>
      <c r="M83" s="16"/>
      <c r="N83" s="16"/>
      <c r="O83" s="2" t="str">
        <f ca="1">IF(C83="","",IF(OR(F83="Closed",F83=""),0,IF(N83&lt;&gt;"",MAX(0,N83-M83),MAX(0,TODAY()-IF(M83="",C83+IF(E83="Critical",Admin!$C$11,Admin!$C$10),M83)))))</f>
        <v/>
      </c>
      <c r="P83" s="2" t="str">
        <f t="shared" si="3"/>
        <v/>
      </c>
      <c r="Q83" s="2" t="str">
        <f t="shared" si="4"/>
        <v/>
      </c>
      <c r="R83" s="4"/>
      <c r="S83" s="4"/>
      <c r="T83" s="2" t="str">
        <f t="shared" si="5"/>
        <v/>
      </c>
    </row>
    <row r="84" spans="2:20" ht="14.4" x14ac:dyDescent="0.3">
      <c r="B84" s="4"/>
      <c r="C84" s="16"/>
      <c r="D84" s="4"/>
      <c r="E84" s="4"/>
      <c r="F84" s="4"/>
      <c r="G84" s="4"/>
      <c r="H84" s="4"/>
      <c r="I84" s="4"/>
      <c r="J84" s="4"/>
      <c r="K84" s="4"/>
      <c r="L84" s="4"/>
      <c r="M84" s="16"/>
      <c r="N84" s="16"/>
      <c r="O84" s="2" t="str">
        <f ca="1">IF(C84="","",IF(OR(F84="Closed",F84=""),0,IF(N84&lt;&gt;"",MAX(0,N84-M84),MAX(0,TODAY()-IF(M84="",C84+IF(E84="Critical",Admin!$C$11,Admin!$C$10),M84)))))</f>
        <v/>
      </c>
      <c r="P84" s="2" t="str">
        <f t="shared" si="3"/>
        <v/>
      </c>
      <c r="Q84" s="2" t="str">
        <f t="shared" si="4"/>
        <v/>
      </c>
      <c r="R84" s="4"/>
      <c r="S84" s="4"/>
      <c r="T84" s="2" t="str">
        <f t="shared" si="5"/>
        <v/>
      </c>
    </row>
    <row r="85" spans="2:20" ht="14.4" x14ac:dyDescent="0.3">
      <c r="B85" s="4"/>
      <c r="C85" s="16"/>
      <c r="D85" s="4"/>
      <c r="E85" s="4"/>
      <c r="F85" s="4"/>
      <c r="G85" s="4"/>
      <c r="H85" s="4"/>
      <c r="I85" s="4"/>
      <c r="J85" s="4"/>
      <c r="K85" s="4"/>
      <c r="L85" s="4"/>
      <c r="M85" s="16"/>
      <c r="N85" s="16"/>
      <c r="O85" s="2" t="str">
        <f ca="1">IF(C85="","",IF(OR(F85="Closed",F85=""),0,IF(N85&lt;&gt;"",MAX(0,N85-M85),MAX(0,TODAY()-IF(M85="",C85+IF(E85="Critical",Admin!$C$11,Admin!$C$10),M85)))))</f>
        <v/>
      </c>
      <c r="P85" s="2" t="str">
        <f t="shared" si="3"/>
        <v/>
      </c>
      <c r="Q85" s="2" t="str">
        <f t="shared" si="4"/>
        <v/>
      </c>
      <c r="R85" s="4"/>
      <c r="S85" s="4"/>
      <c r="T85" s="2" t="str">
        <f t="shared" si="5"/>
        <v/>
      </c>
    </row>
    <row r="86" spans="2:20" ht="14.4" x14ac:dyDescent="0.3">
      <c r="B86" s="4"/>
      <c r="C86" s="16"/>
      <c r="D86" s="4"/>
      <c r="E86" s="4"/>
      <c r="F86" s="4"/>
      <c r="G86" s="4"/>
      <c r="H86" s="4"/>
      <c r="I86" s="4"/>
      <c r="J86" s="4"/>
      <c r="K86" s="4"/>
      <c r="L86" s="4"/>
      <c r="M86" s="16"/>
      <c r="N86" s="16"/>
      <c r="O86" s="2" t="str">
        <f ca="1">IF(C86="","",IF(OR(F86="Closed",F86=""),0,IF(N86&lt;&gt;"",MAX(0,N86-M86),MAX(0,TODAY()-IF(M86="",C86+IF(E86="Critical",Admin!$C$11,Admin!$C$10),M86)))))</f>
        <v/>
      </c>
      <c r="P86" s="2" t="str">
        <f t="shared" si="3"/>
        <v/>
      </c>
      <c r="Q86" s="2" t="str">
        <f t="shared" si="4"/>
        <v/>
      </c>
      <c r="R86" s="4"/>
      <c r="S86" s="4"/>
      <c r="T86" s="2" t="str">
        <f t="shared" si="5"/>
        <v/>
      </c>
    </row>
    <row r="87" spans="2:20" ht="14.4" x14ac:dyDescent="0.3">
      <c r="B87" s="4"/>
      <c r="C87" s="16"/>
      <c r="D87" s="4"/>
      <c r="E87" s="4"/>
      <c r="F87" s="4"/>
      <c r="G87" s="4"/>
      <c r="H87" s="4"/>
      <c r="I87" s="4"/>
      <c r="J87" s="4"/>
      <c r="K87" s="4"/>
      <c r="L87" s="4"/>
      <c r="M87" s="16"/>
      <c r="N87" s="16"/>
      <c r="O87" s="2" t="str">
        <f ca="1">IF(C87="","",IF(OR(F87="Closed",F87=""),0,IF(N87&lt;&gt;"",MAX(0,N87-M87),MAX(0,TODAY()-IF(M87="",C87+IF(E87="Critical",Admin!$C$11,Admin!$C$10),M87)))))</f>
        <v/>
      </c>
      <c r="P87" s="2" t="str">
        <f t="shared" si="3"/>
        <v/>
      </c>
      <c r="Q87" s="2" t="str">
        <f t="shared" si="4"/>
        <v/>
      </c>
      <c r="R87" s="4"/>
      <c r="S87" s="4"/>
      <c r="T87" s="2" t="str">
        <f t="shared" si="5"/>
        <v/>
      </c>
    </row>
    <row r="88" spans="2:20" ht="14.4" x14ac:dyDescent="0.3">
      <c r="B88" s="4"/>
      <c r="C88" s="16"/>
      <c r="D88" s="4"/>
      <c r="E88" s="4"/>
      <c r="F88" s="4"/>
      <c r="G88" s="4"/>
      <c r="H88" s="4"/>
      <c r="I88" s="4"/>
      <c r="J88" s="4"/>
      <c r="K88" s="4"/>
      <c r="L88" s="4"/>
      <c r="M88" s="16"/>
      <c r="N88" s="16"/>
      <c r="O88" s="2" t="str">
        <f ca="1">IF(C88="","",IF(OR(F88="Closed",F88=""),0,IF(N88&lt;&gt;"",MAX(0,N88-M88),MAX(0,TODAY()-IF(M88="",C88+IF(E88="Critical",Admin!$C$11,Admin!$C$10),M88)))))</f>
        <v/>
      </c>
      <c r="P88" s="2" t="str">
        <f t="shared" si="3"/>
        <v/>
      </c>
      <c r="Q88" s="2" t="str">
        <f t="shared" si="4"/>
        <v/>
      </c>
      <c r="R88" s="4"/>
      <c r="S88" s="4"/>
      <c r="T88" s="2" t="str">
        <f t="shared" si="5"/>
        <v/>
      </c>
    </row>
    <row r="89" spans="2:20" ht="14.4" x14ac:dyDescent="0.3">
      <c r="B89" s="4"/>
      <c r="C89" s="16"/>
      <c r="D89" s="4"/>
      <c r="E89" s="4"/>
      <c r="F89" s="4"/>
      <c r="G89" s="4"/>
      <c r="H89" s="4"/>
      <c r="I89" s="4"/>
      <c r="J89" s="4"/>
      <c r="K89" s="4"/>
      <c r="L89" s="4"/>
      <c r="M89" s="16"/>
      <c r="N89" s="16"/>
      <c r="O89" s="2" t="str">
        <f ca="1">IF(C89="","",IF(OR(F89="Closed",F89=""),0,IF(N89&lt;&gt;"",MAX(0,N89-M89),MAX(0,TODAY()-IF(M89="",C89+IF(E89="Critical",Admin!$C$11,Admin!$C$10),M89)))))</f>
        <v/>
      </c>
      <c r="P89" s="2" t="str">
        <f t="shared" si="3"/>
        <v/>
      </c>
      <c r="Q89" s="2" t="str">
        <f t="shared" si="4"/>
        <v/>
      </c>
      <c r="R89" s="4"/>
      <c r="S89" s="4"/>
      <c r="T89" s="2" t="str">
        <f t="shared" si="5"/>
        <v/>
      </c>
    </row>
    <row r="90" spans="2:20" ht="14.4" x14ac:dyDescent="0.3">
      <c r="B90" s="4"/>
      <c r="C90" s="16"/>
      <c r="D90" s="4"/>
      <c r="E90" s="4"/>
      <c r="F90" s="4"/>
      <c r="G90" s="4"/>
      <c r="H90" s="4"/>
      <c r="I90" s="4"/>
      <c r="J90" s="4"/>
      <c r="K90" s="4"/>
      <c r="L90" s="4"/>
      <c r="M90" s="16"/>
      <c r="N90" s="16"/>
      <c r="O90" s="2" t="str">
        <f ca="1">IF(C90="","",IF(OR(F90="Closed",F90=""),0,IF(N90&lt;&gt;"",MAX(0,N90-M90),MAX(0,TODAY()-IF(M90="",C90+IF(E90="Critical",Admin!$C$11,Admin!$C$10),M90)))))</f>
        <v/>
      </c>
      <c r="P90" s="2" t="str">
        <f t="shared" si="3"/>
        <v/>
      </c>
      <c r="Q90" s="2" t="str">
        <f t="shared" si="4"/>
        <v/>
      </c>
      <c r="R90" s="4"/>
      <c r="S90" s="4"/>
      <c r="T90" s="2" t="str">
        <f t="shared" si="5"/>
        <v/>
      </c>
    </row>
    <row r="91" spans="2:20" ht="14.4" x14ac:dyDescent="0.3">
      <c r="B91" s="4"/>
      <c r="C91" s="16"/>
      <c r="D91" s="4"/>
      <c r="E91" s="4"/>
      <c r="F91" s="4"/>
      <c r="G91" s="4"/>
      <c r="H91" s="4"/>
      <c r="I91" s="4"/>
      <c r="J91" s="4"/>
      <c r="K91" s="4"/>
      <c r="L91" s="4"/>
      <c r="M91" s="16"/>
      <c r="N91" s="16"/>
      <c r="O91" s="2" t="str">
        <f ca="1">IF(C91="","",IF(OR(F91="Closed",F91=""),0,IF(N91&lt;&gt;"",MAX(0,N91-M91),MAX(0,TODAY()-IF(M91="",C91+IF(E91="Critical",Admin!$C$11,Admin!$C$10),M91)))))</f>
        <v/>
      </c>
      <c r="P91" s="2" t="str">
        <f t="shared" si="3"/>
        <v/>
      </c>
      <c r="Q91" s="2" t="str">
        <f t="shared" si="4"/>
        <v/>
      </c>
      <c r="R91" s="4"/>
      <c r="S91" s="4"/>
      <c r="T91" s="2" t="str">
        <f t="shared" si="5"/>
        <v/>
      </c>
    </row>
    <row r="92" spans="2:20" ht="14.4" x14ac:dyDescent="0.3">
      <c r="B92" s="4"/>
      <c r="C92" s="16"/>
      <c r="D92" s="4"/>
      <c r="E92" s="4"/>
      <c r="F92" s="4"/>
      <c r="G92" s="4"/>
      <c r="H92" s="4"/>
      <c r="I92" s="4"/>
      <c r="J92" s="4"/>
      <c r="K92" s="4"/>
      <c r="L92" s="4"/>
      <c r="M92" s="16"/>
      <c r="N92" s="16"/>
      <c r="O92" s="2" t="str">
        <f ca="1">IF(C92="","",IF(OR(F92="Closed",F92=""),0,IF(N92&lt;&gt;"",MAX(0,N92-M92),MAX(0,TODAY()-IF(M92="",C92+IF(E92="Critical",Admin!$C$11,Admin!$C$10),M92)))))</f>
        <v/>
      </c>
      <c r="P92" s="2" t="str">
        <f t="shared" si="3"/>
        <v/>
      </c>
      <c r="Q92" s="2" t="str">
        <f t="shared" si="4"/>
        <v/>
      </c>
      <c r="R92" s="4"/>
      <c r="S92" s="4"/>
      <c r="T92" s="2" t="str">
        <f t="shared" si="5"/>
        <v/>
      </c>
    </row>
    <row r="93" spans="2:20" ht="14.4" x14ac:dyDescent="0.3">
      <c r="B93" s="4"/>
      <c r="C93" s="16"/>
      <c r="D93" s="4"/>
      <c r="E93" s="4"/>
      <c r="F93" s="4"/>
      <c r="G93" s="4"/>
      <c r="H93" s="4"/>
      <c r="I93" s="4"/>
      <c r="J93" s="4"/>
      <c r="K93" s="4"/>
      <c r="L93" s="4"/>
      <c r="M93" s="16"/>
      <c r="N93" s="16"/>
      <c r="O93" s="2" t="str">
        <f ca="1">IF(C93="","",IF(OR(F93="Closed",F93=""),0,IF(N93&lt;&gt;"",MAX(0,N93-M93),MAX(0,TODAY()-IF(M93="",C93+IF(E93="Critical",Admin!$C$11,Admin!$C$10),M93)))))</f>
        <v/>
      </c>
      <c r="P93" s="2" t="str">
        <f t="shared" si="3"/>
        <v/>
      </c>
      <c r="Q93" s="2" t="str">
        <f t="shared" si="4"/>
        <v/>
      </c>
      <c r="R93" s="4"/>
      <c r="S93" s="4"/>
      <c r="T93" s="2" t="str">
        <f t="shared" si="5"/>
        <v/>
      </c>
    </row>
    <row r="94" spans="2:20" ht="14.4" x14ac:dyDescent="0.3">
      <c r="B94" s="4"/>
      <c r="C94" s="16"/>
      <c r="D94" s="4"/>
      <c r="E94" s="4"/>
      <c r="F94" s="4"/>
      <c r="G94" s="4"/>
      <c r="H94" s="4"/>
      <c r="I94" s="4"/>
      <c r="J94" s="4"/>
      <c r="K94" s="4"/>
      <c r="L94" s="4"/>
      <c r="M94" s="16"/>
      <c r="N94" s="16"/>
      <c r="O94" s="2" t="str">
        <f ca="1">IF(C94="","",IF(OR(F94="Closed",F94=""),0,IF(N94&lt;&gt;"",MAX(0,N94-M94),MAX(0,TODAY()-IF(M94="",C94+IF(E94="Critical",Admin!$C$11,Admin!$C$10),M94)))))</f>
        <v/>
      </c>
      <c r="P94" s="2" t="str">
        <f t="shared" si="3"/>
        <v/>
      </c>
      <c r="Q94" s="2" t="str">
        <f t="shared" si="4"/>
        <v/>
      </c>
      <c r="R94" s="4"/>
      <c r="S94" s="4"/>
      <c r="T94" s="2" t="str">
        <f t="shared" si="5"/>
        <v/>
      </c>
    </row>
    <row r="95" spans="2:20" ht="14.4" x14ac:dyDescent="0.3">
      <c r="B95" s="4"/>
      <c r="C95" s="16"/>
      <c r="D95" s="4"/>
      <c r="E95" s="4"/>
      <c r="F95" s="4"/>
      <c r="G95" s="4"/>
      <c r="H95" s="4"/>
      <c r="I95" s="4"/>
      <c r="J95" s="4"/>
      <c r="K95" s="4"/>
      <c r="L95" s="4"/>
      <c r="M95" s="16"/>
      <c r="N95" s="16"/>
      <c r="O95" s="2" t="str">
        <f ca="1">IF(C95="","",IF(OR(F95="Closed",F95=""),0,IF(N95&lt;&gt;"",MAX(0,N95-M95),MAX(0,TODAY()-IF(M95="",C95+IF(E95="Critical",Admin!$C$11,Admin!$C$10),M95)))))</f>
        <v/>
      </c>
      <c r="P95" s="2" t="str">
        <f t="shared" si="3"/>
        <v/>
      </c>
      <c r="Q95" s="2" t="str">
        <f t="shared" si="4"/>
        <v/>
      </c>
      <c r="R95" s="4"/>
      <c r="S95" s="4"/>
      <c r="T95" s="2" t="str">
        <f t="shared" si="5"/>
        <v/>
      </c>
    </row>
    <row r="96" spans="2:20" ht="14.4" x14ac:dyDescent="0.3">
      <c r="B96" s="4"/>
      <c r="C96" s="16"/>
      <c r="D96" s="4"/>
      <c r="E96" s="4"/>
      <c r="F96" s="4"/>
      <c r="G96" s="4"/>
      <c r="H96" s="4"/>
      <c r="I96" s="4"/>
      <c r="J96" s="4"/>
      <c r="K96" s="4"/>
      <c r="L96" s="4"/>
      <c r="M96" s="16"/>
      <c r="N96" s="16"/>
      <c r="O96" s="2" t="str">
        <f ca="1">IF(C96="","",IF(OR(F96="Closed",F96=""),0,IF(N96&lt;&gt;"",MAX(0,N96-M96),MAX(0,TODAY()-IF(M96="",C96+IF(E96="Critical",Admin!$C$11,Admin!$C$10),M96)))))</f>
        <v/>
      </c>
      <c r="P96" s="2" t="str">
        <f t="shared" si="3"/>
        <v/>
      </c>
      <c r="Q96" s="2" t="str">
        <f t="shared" si="4"/>
        <v/>
      </c>
      <c r="R96" s="4"/>
      <c r="S96" s="4"/>
      <c r="T96" s="2" t="str">
        <f t="shared" si="5"/>
        <v/>
      </c>
    </row>
    <row r="97" spans="2:20" ht="14.4" x14ac:dyDescent="0.3">
      <c r="B97" s="4"/>
      <c r="C97" s="16"/>
      <c r="D97" s="4"/>
      <c r="E97" s="4"/>
      <c r="F97" s="4"/>
      <c r="G97" s="4"/>
      <c r="H97" s="4"/>
      <c r="I97" s="4"/>
      <c r="J97" s="4"/>
      <c r="K97" s="4"/>
      <c r="L97" s="4"/>
      <c r="M97" s="16"/>
      <c r="N97" s="16"/>
      <c r="O97" s="2" t="str">
        <f ca="1">IF(C97="","",IF(OR(F97="Closed",F97=""),0,IF(N97&lt;&gt;"",MAX(0,N97-M97),MAX(0,TODAY()-IF(M97="",C97+IF(E97="Critical",Admin!$C$11,Admin!$C$10),M97)))))</f>
        <v/>
      </c>
      <c r="P97" s="2" t="str">
        <f t="shared" si="3"/>
        <v/>
      </c>
      <c r="Q97" s="2" t="str">
        <f t="shared" si="4"/>
        <v/>
      </c>
      <c r="R97" s="4"/>
      <c r="S97" s="4"/>
      <c r="T97" s="2" t="str">
        <f t="shared" si="5"/>
        <v/>
      </c>
    </row>
    <row r="98" spans="2:20" ht="14.4" x14ac:dyDescent="0.3">
      <c r="B98" s="4"/>
      <c r="C98" s="16"/>
      <c r="D98" s="4"/>
      <c r="E98" s="4"/>
      <c r="F98" s="4"/>
      <c r="G98" s="4"/>
      <c r="H98" s="4"/>
      <c r="I98" s="4"/>
      <c r="J98" s="4"/>
      <c r="K98" s="4"/>
      <c r="L98" s="4"/>
      <c r="M98" s="16"/>
      <c r="N98" s="16"/>
      <c r="O98" s="2" t="str">
        <f ca="1">IF(C98="","",IF(OR(F98="Closed",F98=""),0,IF(N98&lt;&gt;"",MAX(0,N98-M98),MAX(0,TODAY()-IF(M98="",C98+IF(E98="Critical",Admin!$C$11,Admin!$C$10),M98)))))</f>
        <v/>
      </c>
      <c r="P98" s="2" t="str">
        <f t="shared" si="3"/>
        <v/>
      </c>
      <c r="Q98" s="2" t="str">
        <f t="shared" si="4"/>
        <v/>
      </c>
      <c r="R98" s="4"/>
      <c r="S98" s="4"/>
      <c r="T98" s="2" t="str">
        <f t="shared" si="5"/>
        <v/>
      </c>
    </row>
    <row r="99" spans="2:20" ht="14.4" x14ac:dyDescent="0.3">
      <c r="B99" s="4"/>
      <c r="C99" s="16"/>
      <c r="D99" s="4"/>
      <c r="E99" s="4"/>
      <c r="F99" s="4"/>
      <c r="G99" s="4"/>
      <c r="H99" s="4"/>
      <c r="I99" s="4"/>
      <c r="J99" s="4"/>
      <c r="K99" s="4"/>
      <c r="L99" s="4"/>
      <c r="M99" s="16"/>
      <c r="N99" s="16"/>
      <c r="O99" s="2" t="str">
        <f ca="1">IF(C99="","",IF(OR(F99="Closed",F99=""),0,IF(N99&lt;&gt;"",MAX(0,N99-M99),MAX(0,TODAY()-IF(M99="",C99+IF(E99="Critical",Admin!$C$11,Admin!$C$10),M99)))))</f>
        <v/>
      </c>
      <c r="P99" s="2" t="str">
        <f t="shared" si="3"/>
        <v/>
      </c>
      <c r="Q99" s="2" t="str">
        <f t="shared" si="4"/>
        <v/>
      </c>
      <c r="R99" s="4"/>
      <c r="S99" s="4"/>
      <c r="T99" s="2" t="str">
        <f t="shared" si="5"/>
        <v/>
      </c>
    </row>
    <row r="100" spans="2:20" ht="14.4" x14ac:dyDescent="0.3">
      <c r="B100" s="4"/>
      <c r="C100" s="16"/>
      <c r="D100" s="4"/>
      <c r="E100" s="4"/>
      <c r="F100" s="4"/>
      <c r="G100" s="4"/>
      <c r="H100" s="4"/>
      <c r="I100" s="4"/>
      <c r="J100" s="4"/>
      <c r="K100" s="4"/>
      <c r="L100" s="4"/>
      <c r="M100" s="16"/>
      <c r="N100" s="16"/>
      <c r="O100" s="2" t="str">
        <f ca="1">IF(C100="","",IF(OR(F100="Closed",F100=""),0,IF(N100&lt;&gt;"",MAX(0,N100-M100),MAX(0,TODAY()-IF(M100="",C100+IF(E100="Critical",Admin!$C$11,Admin!$C$10),M100)))))</f>
        <v/>
      </c>
      <c r="P100" s="2" t="str">
        <f t="shared" si="3"/>
        <v/>
      </c>
      <c r="Q100" s="2" t="str">
        <f t="shared" si="4"/>
        <v/>
      </c>
      <c r="R100" s="4"/>
      <c r="S100" s="4"/>
      <c r="T100" s="2" t="str">
        <f t="shared" si="5"/>
        <v/>
      </c>
    </row>
    <row r="101" spans="2:20" ht="14.4" x14ac:dyDescent="0.3">
      <c r="B101" s="4"/>
      <c r="C101" s="16"/>
      <c r="D101" s="4"/>
      <c r="E101" s="4"/>
      <c r="F101" s="4"/>
      <c r="G101" s="4"/>
      <c r="H101" s="4"/>
      <c r="I101" s="4"/>
      <c r="J101" s="4"/>
      <c r="K101" s="4"/>
      <c r="L101" s="4"/>
      <c r="M101" s="16"/>
      <c r="N101" s="16"/>
      <c r="O101" s="2" t="str">
        <f ca="1">IF(C101="","",IF(OR(F101="Closed",F101=""),0,IF(N101&lt;&gt;"",MAX(0,N101-M101),MAX(0,TODAY()-IF(M101="",C101+IF(E101="Critical",Admin!$C$11,Admin!$C$10),M101)))))</f>
        <v/>
      </c>
      <c r="P101" s="2" t="str">
        <f t="shared" si="3"/>
        <v/>
      </c>
      <c r="Q101" s="2" t="str">
        <f t="shared" si="4"/>
        <v/>
      </c>
      <c r="R101" s="4"/>
      <c r="S101" s="4"/>
      <c r="T101" s="2" t="str">
        <f t="shared" si="5"/>
        <v/>
      </c>
    </row>
    <row r="102" spans="2:20" ht="14.4" x14ac:dyDescent="0.3">
      <c r="B102" s="4"/>
      <c r="C102" s="16"/>
      <c r="D102" s="4"/>
      <c r="E102" s="4"/>
      <c r="F102" s="4"/>
      <c r="G102" s="4"/>
      <c r="H102" s="4"/>
      <c r="I102" s="4"/>
      <c r="J102" s="4"/>
      <c r="K102" s="4"/>
      <c r="L102" s="4"/>
      <c r="M102" s="16"/>
      <c r="N102" s="16"/>
      <c r="O102" s="2" t="str">
        <f ca="1">IF(C102="","",IF(OR(F102="Closed",F102=""),0,IF(N102&lt;&gt;"",MAX(0,N102-M102),MAX(0,TODAY()-IF(M102="",C102+IF(E102="Critical",Admin!$C$11,Admin!$C$10),M102)))))</f>
        <v/>
      </c>
      <c r="P102" s="2" t="str">
        <f t="shared" si="3"/>
        <v/>
      </c>
      <c r="Q102" s="2" t="str">
        <f t="shared" si="4"/>
        <v/>
      </c>
      <c r="R102" s="4"/>
      <c r="S102" s="4"/>
      <c r="T102" s="2" t="str">
        <f t="shared" si="5"/>
        <v/>
      </c>
    </row>
    <row r="103" spans="2:20" ht="14.4" x14ac:dyDescent="0.3">
      <c r="B103" s="4"/>
      <c r="C103" s="16"/>
      <c r="D103" s="4"/>
      <c r="E103" s="4"/>
      <c r="F103" s="4"/>
      <c r="G103" s="4"/>
      <c r="H103" s="4"/>
      <c r="I103" s="4"/>
      <c r="J103" s="4"/>
      <c r="K103" s="4"/>
      <c r="L103" s="4"/>
      <c r="M103" s="16"/>
      <c r="N103" s="16"/>
      <c r="O103" s="2" t="str">
        <f ca="1">IF(C103="","",IF(OR(F103="Closed",F103=""),0,IF(N103&lt;&gt;"",MAX(0,N103-M103),MAX(0,TODAY()-IF(M103="",C103+IF(E103="Critical",Admin!$C$11,Admin!$C$10),M103)))))</f>
        <v/>
      </c>
      <c r="P103" s="2" t="str">
        <f t="shared" si="3"/>
        <v/>
      </c>
      <c r="Q103" s="2" t="str">
        <f t="shared" si="4"/>
        <v/>
      </c>
      <c r="R103" s="4"/>
      <c r="S103" s="4"/>
      <c r="T103" s="2" t="str">
        <f t="shared" si="5"/>
        <v/>
      </c>
    </row>
    <row r="104" spans="2:20" ht="14.4" x14ac:dyDescent="0.3">
      <c r="B104" s="4"/>
      <c r="C104" s="16"/>
      <c r="D104" s="4"/>
      <c r="E104" s="4"/>
      <c r="F104" s="4"/>
      <c r="G104" s="4"/>
      <c r="H104" s="4"/>
      <c r="I104" s="4"/>
      <c r="J104" s="4"/>
      <c r="K104" s="4"/>
      <c r="L104" s="4"/>
      <c r="M104" s="16"/>
      <c r="N104" s="16"/>
      <c r="O104" s="2" t="str">
        <f ca="1">IF(C104="","",IF(OR(F104="Closed",F104=""),0,IF(N104&lt;&gt;"",MAX(0,N104-M104),MAX(0,TODAY()-IF(M104="",C104+IF(E104="Critical",Admin!$C$11,Admin!$C$10),M104)))))</f>
        <v/>
      </c>
      <c r="P104" s="2" t="str">
        <f t="shared" si="3"/>
        <v/>
      </c>
      <c r="Q104" s="2" t="str">
        <f t="shared" si="4"/>
        <v/>
      </c>
      <c r="R104" s="4"/>
      <c r="S104" s="4"/>
      <c r="T104" s="2" t="str">
        <f t="shared" si="5"/>
        <v/>
      </c>
    </row>
    <row r="105" spans="2:20" ht="14.4" x14ac:dyDescent="0.3">
      <c r="B105" s="4"/>
      <c r="C105" s="16"/>
      <c r="D105" s="4"/>
      <c r="E105" s="4"/>
      <c r="F105" s="4"/>
      <c r="G105" s="4"/>
      <c r="H105" s="4"/>
      <c r="I105" s="4"/>
      <c r="J105" s="4"/>
      <c r="K105" s="4"/>
      <c r="L105" s="4"/>
      <c r="M105" s="16"/>
      <c r="N105" s="16"/>
      <c r="O105" s="2" t="str">
        <f ca="1">IF(C105="","",IF(OR(F105="Closed",F105=""),0,IF(N105&lt;&gt;"",MAX(0,N105-M105),MAX(0,TODAY()-IF(M105="",C105+IF(E105="Critical",Admin!$C$11,Admin!$C$10),M105)))))</f>
        <v/>
      </c>
      <c r="P105" s="2" t="str">
        <f t="shared" si="3"/>
        <v/>
      </c>
      <c r="Q105" s="2" t="str">
        <f t="shared" si="4"/>
        <v/>
      </c>
      <c r="R105" s="4"/>
      <c r="S105" s="4"/>
      <c r="T105" s="2" t="str">
        <f t="shared" si="5"/>
        <v/>
      </c>
    </row>
    <row r="106" spans="2:20" ht="14.4" x14ac:dyDescent="0.3">
      <c r="B106" s="4"/>
      <c r="C106" s="16"/>
      <c r="D106" s="4"/>
      <c r="E106" s="4"/>
      <c r="F106" s="4"/>
      <c r="G106" s="4"/>
      <c r="H106" s="4"/>
      <c r="I106" s="4"/>
      <c r="J106" s="4"/>
      <c r="K106" s="4"/>
      <c r="L106" s="4"/>
      <c r="M106" s="16"/>
      <c r="N106" s="16"/>
      <c r="O106" s="2" t="str">
        <f ca="1">IF(C106="","",IF(OR(F106="Closed",F106=""),0,IF(N106&lt;&gt;"",MAX(0,N106-M106),MAX(0,TODAY()-IF(M106="",C106+IF(E106="Critical",Admin!$C$11,Admin!$C$10),M106)))))</f>
        <v/>
      </c>
      <c r="P106" s="2" t="str">
        <f t="shared" si="3"/>
        <v/>
      </c>
      <c r="Q106" s="2" t="str">
        <f t="shared" si="4"/>
        <v/>
      </c>
      <c r="R106" s="4"/>
      <c r="S106" s="4"/>
      <c r="T106" s="2" t="str">
        <f t="shared" si="5"/>
        <v/>
      </c>
    </row>
    <row r="107" spans="2:20" ht="14.4" x14ac:dyDescent="0.3">
      <c r="B107" s="4"/>
      <c r="C107" s="16"/>
      <c r="D107" s="4"/>
      <c r="E107" s="4"/>
      <c r="F107" s="4"/>
      <c r="G107" s="4"/>
      <c r="H107" s="4"/>
      <c r="I107" s="4"/>
      <c r="J107" s="4"/>
      <c r="K107" s="4"/>
      <c r="L107" s="4"/>
      <c r="M107" s="16"/>
      <c r="N107" s="16"/>
      <c r="O107" s="2" t="str">
        <f ca="1">IF(C107="","",IF(OR(F107="Closed",F107=""),0,IF(N107&lt;&gt;"",MAX(0,N107-M107),MAX(0,TODAY()-IF(M107="",C107+IF(E107="Critical",Admin!$C$11,Admin!$C$10),M107)))))</f>
        <v/>
      </c>
      <c r="P107" s="2" t="str">
        <f t="shared" si="3"/>
        <v/>
      </c>
      <c r="Q107" s="2" t="str">
        <f t="shared" si="4"/>
        <v/>
      </c>
      <c r="R107" s="4"/>
      <c r="S107" s="4"/>
      <c r="T107" s="2" t="str">
        <f t="shared" si="5"/>
        <v/>
      </c>
    </row>
    <row r="108" spans="2:20" ht="14.4" x14ac:dyDescent="0.3">
      <c r="B108" s="4"/>
      <c r="C108" s="16"/>
      <c r="D108" s="4"/>
      <c r="E108" s="4"/>
      <c r="F108" s="4"/>
      <c r="G108" s="4"/>
      <c r="H108" s="4"/>
      <c r="I108" s="4"/>
      <c r="J108" s="4"/>
      <c r="K108" s="4"/>
      <c r="L108" s="4"/>
      <c r="M108" s="16"/>
      <c r="N108" s="16"/>
      <c r="O108" s="2" t="str">
        <f ca="1">IF(C108="","",IF(OR(F108="Closed",F108=""),0,IF(N108&lt;&gt;"",MAX(0,N108-M108),MAX(0,TODAY()-IF(M108="",C108+IF(E108="Critical",Admin!$C$11,Admin!$C$10),M108)))))</f>
        <v/>
      </c>
      <c r="P108" s="2" t="str">
        <f t="shared" si="3"/>
        <v/>
      </c>
      <c r="Q108" s="2" t="str">
        <f t="shared" si="4"/>
        <v/>
      </c>
      <c r="R108" s="4"/>
      <c r="S108" s="4"/>
      <c r="T108" s="2" t="str">
        <f t="shared" si="5"/>
        <v/>
      </c>
    </row>
    <row r="109" spans="2:20" ht="14.4" x14ac:dyDescent="0.3">
      <c r="B109" s="4"/>
      <c r="C109" s="16"/>
      <c r="D109" s="4"/>
      <c r="E109" s="4"/>
      <c r="F109" s="4"/>
      <c r="G109" s="4"/>
      <c r="H109" s="4"/>
      <c r="I109" s="4"/>
      <c r="J109" s="4"/>
      <c r="K109" s="4"/>
      <c r="L109" s="4"/>
      <c r="M109" s="16"/>
      <c r="N109" s="16"/>
      <c r="O109" s="2" t="str">
        <f ca="1">IF(C109="","",IF(OR(F109="Closed",F109=""),0,IF(N109&lt;&gt;"",MAX(0,N109-M109),MAX(0,TODAY()-IF(M109="",C109+IF(E109="Critical",Admin!$C$11,Admin!$C$10),M109)))))</f>
        <v/>
      </c>
      <c r="P109" s="2" t="str">
        <f t="shared" si="3"/>
        <v/>
      </c>
      <c r="Q109" s="2" t="str">
        <f t="shared" si="4"/>
        <v/>
      </c>
      <c r="R109" s="4"/>
      <c r="S109" s="4"/>
      <c r="T109" s="2" t="str">
        <f t="shared" si="5"/>
        <v/>
      </c>
    </row>
    <row r="110" spans="2:20" ht="14.4" x14ac:dyDescent="0.3">
      <c r="B110" s="4"/>
      <c r="C110" s="16"/>
      <c r="D110" s="4"/>
      <c r="E110" s="4"/>
      <c r="F110" s="4"/>
      <c r="G110" s="4"/>
      <c r="H110" s="4"/>
      <c r="I110" s="4"/>
      <c r="J110" s="4"/>
      <c r="K110" s="4"/>
      <c r="L110" s="4"/>
      <c r="M110" s="16"/>
      <c r="N110" s="16"/>
      <c r="O110" s="2" t="str">
        <f ca="1">IF(C110="","",IF(OR(F110="Closed",F110=""),0,IF(N110&lt;&gt;"",MAX(0,N110-M110),MAX(0,TODAY()-IF(M110="",C110+IF(E110="Critical",Admin!$C$11,Admin!$C$10),M110)))))</f>
        <v/>
      </c>
      <c r="P110" s="2" t="str">
        <f t="shared" si="3"/>
        <v/>
      </c>
      <c r="Q110" s="2" t="str">
        <f t="shared" si="4"/>
        <v/>
      </c>
      <c r="R110" s="4"/>
      <c r="S110" s="4"/>
      <c r="T110" s="2" t="str">
        <f t="shared" si="5"/>
        <v/>
      </c>
    </row>
    <row r="111" spans="2:20" ht="14.4" x14ac:dyDescent="0.3">
      <c r="B111" s="4"/>
      <c r="C111" s="16"/>
      <c r="D111" s="4"/>
      <c r="E111" s="4"/>
      <c r="F111" s="4"/>
      <c r="G111" s="4"/>
      <c r="H111" s="4"/>
      <c r="I111" s="4"/>
      <c r="J111" s="4"/>
      <c r="K111" s="4"/>
      <c r="L111" s="4"/>
      <c r="M111" s="16"/>
      <c r="N111" s="16"/>
      <c r="O111" s="2" t="str">
        <f ca="1">IF(C111="","",IF(OR(F111="Closed",F111=""),0,IF(N111&lt;&gt;"",MAX(0,N111-M111),MAX(0,TODAY()-IF(M111="",C111+IF(E111="Critical",Admin!$C$11,Admin!$C$10),M111)))))</f>
        <v/>
      </c>
      <c r="P111" s="2" t="str">
        <f t="shared" si="3"/>
        <v/>
      </c>
      <c r="Q111" s="2" t="str">
        <f t="shared" si="4"/>
        <v/>
      </c>
      <c r="R111" s="4"/>
      <c r="S111" s="4"/>
      <c r="T111" s="2" t="str">
        <f t="shared" si="5"/>
        <v/>
      </c>
    </row>
    <row r="112" spans="2:20" ht="14.4" x14ac:dyDescent="0.3">
      <c r="B112" s="4"/>
      <c r="C112" s="16"/>
      <c r="D112" s="4"/>
      <c r="E112" s="4"/>
      <c r="F112" s="4"/>
      <c r="G112" s="4"/>
      <c r="H112" s="4"/>
      <c r="I112" s="4"/>
      <c r="J112" s="4"/>
      <c r="K112" s="4"/>
      <c r="L112" s="4"/>
      <c r="M112" s="16"/>
      <c r="N112" s="16"/>
      <c r="O112" s="2" t="str">
        <f ca="1">IF(C112="","",IF(OR(F112="Closed",F112=""),0,IF(N112&lt;&gt;"",MAX(0,N112-M112),MAX(0,TODAY()-IF(M112="",C112+IF(E112="Critical",Admin!$C$11,Admin!$C$10),M112)))))</f>
        <v/>
      </c>
      <c r="P112" s="2" t="str">
        <f t="shared" si="3"/>
        <v/>
      </c>
      <c r="Q112" s="2" t="str">
        <f t="shared" si="4"/>
        <v/>
      </c>
      <c r="R112" s="4"/>
      <c r="S112" s="4"/>
      <c r="T112" s="2" t="str">
        <f t="shared" si="5"/>
        <v/>
      </c>
    </row>
    <row r="113" spans="2:20" ht="14.4" x14ac:dyDescent="0.3">
      <c r="B113" s="4"/>
      <c r="C113" s="16"/>
      <c r="D113" s="4"/>
      <c r="E113" s="4"/>
      <c r="F113" s="4"/>
      <c r="G113" s="4"/>
      <c r="H113" s="4"/>
      <c r="I113" s="4"/>
      <c r="J113" s="4"/>
      <c r="K113" s="4"/>
      <c r="L113" s="4"/>
      <c r="M113" s="16"/>
      <c r="N113" s="16"/>
      <c r="O113" s="2" t="str">
        <f ca="1">IF(C113="","",IF(OR(F113="Closed",F113=""),0,IF(N113&lt;&gt;"",MAX(0,N113-M113),MAX(0,TODAY()-IF(M113="",C113+IF(E113="Critical",Admin!$C$11,Admin!$C$10),M113)))))</f>
        <v/>
      </c>
      <c r="P113" s="2" t="str">
        <f t="shared" si="3"/>
        <v/>
      </c>
      <c r="Q113" s="2" t="str">
        <f t="shared" si="4"/>
        <v/>
      </c>
      <c r="R113" s="4"/>
      <c r="S113" s="4"/>
      <c r="T113" s="2" t="str">
        <f t="shared" si="5"/>
        <v/>
      </c>
    </row>
    <row r="114" spans="2:20" ht="14.4" x14ac:dyDescent="0.3">
      <c r="B114" s="4"/>
      <c r="C114" s="16"/>
      <c r="D114" s="4"/>
      <c r="E114" s="4"/>
      <c r="F114" s="4"/>
      <c r="G114" s="4"/>
      <c r="H114" s="4"/>
      <c r="I114" s="4"/>
      <c r="J114" s="4"/>
      <c r="K114" s="4"/>
      <c r="L114" s="4"/>
      <c r="M114" s="16"/>
      <c r="N114" s="16"/>
      <c r="O114" s="2" t="str">
        <f ca="1">IF(C114="","",IF(OR(F114="Closed",F114=""),0,IF(N114&lt;&gt;"",MAX(0,N114-M114),MAX(0,TODAY()-IF(M114="",C114+IF(E114="Critical",Admin!$C$11,Admin!$C$10),M114)))))</f>
        <v/>
      </c>
      <c r="P114" s="2" t="str">
        <f t="shared" si="3"/>
        <v/>
      </c>
      <c r="Q114" s="2" t="str">
        <f t="shared" si="4"/>
        <v/>
      </c>
      <c r="R114" s="4"/>
      <c r="S114" s="4"/>
      <c r="T114" s="2" t="str">
        <f t="shared" si="5"/>
        <v/>
      </c>
    </row>
    <row r="115" spans="2:20" ht="14.4" x14ac:dyDescent="0.3">
      <c r="B115" s="4"/>
      <c r="C115" s="16"/>
      <c r="D115" s="4"/>
      <c r="E115" s="4"/>
      <c r="F115" s="4"/>
      <c r="G115" s="4"/>
      <c r="H115" s="4"/>
      <c r="I115" s="4"/>
      <c r="J115" s="4"/>
      <c r="K115" s="4"/>
      <c r="L115" s="4"/>
      <c r="M115" s="16"/>
      <c r="N115" s="16"/>
      <c r="O115" s="2" t="str">
        <f ca="1">IF(C115="","",IF(OR(F115="Closed",F115=""),0,IF(N115&lt;&gt;"",MAX(0,N115-M115),MAX(0,TODAY()-IF(M115="",C115+IF(E115="Critical",Admin!$C$11,Admin!$C$10),M115)))))</f>
        <v/>
      </c>
      <c r="P115" s="2" t="str">
        <f t="shared" si="3"/>
        <v/>
      </c>
      <c r="Q115" s="2" t="str">
        <f t="shared" si="4"/>
        <v/>
      </c>
      <c r="R115" s="4"/>
      <c r="S115" s="4"/>
      <c r="T115" s="2" t="str">
        <f t="shared" si="5"/>
        <v/>
      </c>
    </row>
    <row r="116" spans="2:20" ht="14.4" x14ac:dyDescent="0.3">
      <c r="B116" s="4"/>
      <c r="C116" s="16"/>
      <c r="D116" s="4"/>
      <c r="E116" s="4"/>
      <c r="F116" s="4"/>
      <c r="G116" s="4"/>
      <c r="H116" s="4"/>
      <c r="I116" s="4"/>
      <c r="J116" s="4"/>
      <c r="K116" s="4"/>
      <c r="L116" s="4"/>
      <c r="M116" s="16"/>
      <c r="N116" s="16"/>
      <c r="O116" s="2" t="str">
        <f ca="1">IF(C116="","",IF(OR(F116="Closed",F116=""),0,IF(N116&lt;&gt;"",MAX(0,N116-M116),MAX(0,TODAY()-IF(M116="",C116+IF(E116="Critical",Admin!$C$11,Admin!$C$10),M116)))))</f>
        <v/>
      </c>
      <c r="P116" s="2" t="str">
        <f t="shared" si="3"/>
        <v/>
      </c>
      <c r="Q116" s="2" t="str">
        <f t="shared" si="4"/>
        <v/>
      </c>
      <c r="R116" s="4"/>
      <c r="S116" s="4"/>
      <c r="T116" s="2" t="str">
        <f t="shared" si="5"/>
        <v/>
      </c>
    </row>
    <row r="117" spans="2:20" ht="14.4" x14ac:dyDescent="0.3">
      <c r="B117" s="4"/>
      <c r="C117" s="16"/>
      <c r="D117" s="4"/>
      <c r="E117" s="4"/>
      <c r="F117" s="4"/>
      <c r="G117" s="4"/>
      <c r="H117" s="4"/>
      <c r="I117" s="4"/>
      <c r="J117" s="4"/>
      <c r="K117" s="4"/>
      <c r="L117" s="4"/>
      <c r="M117" s="16"/>
      <c r="N117" s="16"/>
      <c r="O117" s="2" t="str">
        <f ca="1">IF(C117="","",IF(OR(F117="Closed",F117=""),0,IF(N117&lt;&gt;"",MAX(0,N117-M117),MAX(0,TODAY()-IF(M117="",C117+IF(E117="Critical",Admin!$C$11,Admin!$C$10),M117)))))</f>
        <v/>
      </c>
      <c r="P117" s="2" t="str">
        <f t="shared" si="3"/>
        <v/>
      </c>
      <c r="Q117" s="2" t="str">
        <f t="shared" si="4"/>
        <v/>
      </c>
      <c r="R117" s="4"/>
      <c r="S117" s="4"/>
      <c r="T117" s="2" t="str">
        <f t="shared" si="5"/>
        <v/>
      </c>
    </row>
    <row r="118" spans="2:20" ht="14.4" x14ac:dyDescent="0.3">
      <c r="B118" s="4"/>
      <c r="C118" s="16"/>
      <c r="D118" s="4"/>
      <c r="E118" s="4"/>
      <c r="F118" s="4"/>
      <c r="G118" s="4"/>
      <c r="H118" s="4"/>
      <c r="I118" s="4"/>
      <c r="J118" s="4"/>
      <c r="K118" s="4"/>
      <c r="L118" s="4"/>
      <c r="M118" s="16"/>
      <c r="N118" s="16"/>
      <c r="O118" s="2" t="str">
        <f ca="1">IF(C118="","",IF(OR(F118="Closed",F118=""),0,IF(N118&lt;&gt;"",MAX(0,N118-M118),MAX(0,TODAY()-IF(M118="",C118+IF(E118="Critical",Admin!$C$11,Admin!$C$10),M118)))))</f>
        <v/>
      </c>
      <c r="P118" s="2" t="str">
        <f t="shared" si="3"/>
        <v/>
      </c>
      <c r="Q118" s="2" t="str">
        <f t="shared" si="4"/>
        <v/>
      </c>
      <c r="R118" s="4"/>
      <c r="S118" s="4"/>
      <c r="T118" s="2" t="str">
        <f t="shared" si="5"/>
        <v/>
      </c>
    </row>
    <row r="119" spans="2:20" ht="14.4" x14ac:dyDescent="0.3">
      <c r="B119" s="4"/>
      <c r="C119" s="16"/>
      <c r="D119" s="4"/>
      <c r="E119" s="4"/>
      <c r="F119" s="4"/>
      <c r="G119" s="4"/>
      <c r="H119" s="4"/>
      <c r="I119" s="4"/>
      <c r="J119" s="4"/>
      <c r="K119" s="4"/>
      <c r="L119" s="4"/>
      <c r="M119" s="16"/>
      <c r="N119" s="16"/>
      <c r="O119" s="2" t="str">
        <f ca="1">IF(C119="","",IF(OR(F119="Closed",F119=""),0,IF(N119&lt;&gt;"",MAX(0,N119-M119),MAX(0,TODAY()-IF(M119="",C119+IF(E119="Critical",Admin!$C$11,Admin!$C$10),M119)))))</f>
        <v/>
      </c>
      <c r="P119" s="2" t="str">
        <f t="shared" si="3"/>
        <v/>
      </c>
      <c r="Q119" s="2" t="str">
        <f t="shared" si="4"/>
        <v/>
      </c>
      <c r="R119" s="4"/>
      <c r="S119" s="4"/>
      <c r="T119" s="2" t="str">
        <f t="shared" si="5"/>
        <v/>
      </c>
    </row>
    <row r="120" spans="2:20" ht="14.4" x14ac:dyDescent="0.3">
      <c r="B120" s="4"/>
      <c r="C120" s="16"/>
      <c r="D120" s="4"/>
      <c r="E120" s="4"/>
      <c r="F120" s="4"/>
      <c r="G120" s="4"/>
      <c r="H120" s="4"/>
      <c r="I120" s="4"/>
      <c r="J120" s="4"/>
      <c r="K120" s="4"/>
      <c r="L120" s="4"/>
      <c r="M120" s="16"/>
      <c r="N120" s="16"/>
      <c r="O120" s="2" t="str">
        <f ca="1">IF(C120="","",IF(OR(F120="Closed",F120=""),0,IF(N120&lt;&gt;"",MAX(0,N120-M120),MAX(0,TODAY()-IF(M120="",C120+IF(E120="Critical",Admin!$C$11,Admin!$C$10),M120)))))</f>
        <v/>
      </c>
      <c r="P120" s="2" t="str">
        <f t="shared" si="3"/>
        <v/>
      </c>
      <c r="Q120" s="2" t="str">
        <f t="shared" si="4"/>
        <v/>
      </c>
      <c r="R120" s="4"/>
      <c r="S120" s="4"/>
      <c r="T120" s="2" t="str">
        <f t="shared" si="5"/>
        <v/>
      </c>
    </row>
    <row r="121" spans="2:20" ht="14.4" x14ac:dyDescent="0.3">
      <c r="B121" s="4"/>
      <c r="C121" s="16"/>
      <c r="D121" s="4"/>
      <c r="E121" s="4"/>
      <c r="F121" s="4"/>
      <c r="G121" s="4"/>
      <c r="H121" s="4"/>
      <c r="I121" s="4"/>
      <c r="J121" s="4"/>
      <c r="K121" s="4"/>
      <c r="L121" s="4"/>
      <c r="M121" s="16"/>
      <c r="N121" s="16"/>
      <c r="O121" s="2" t="str">
        <f ca="1">IF(C121="","",IF(OR(F121="Closed",F121=""),0,IF(N121&lt;&gt;"",MAX(0,N121-M121),MAX(0,TODAY()-IF(M121="",C121+IF(E121="Critical",Admin!$C$11,Admin!$C$10),M121)))))</f>
        <v/>
      </c>
      <c r="P121" s="2" t="str">
        <f t="shared" si="3"/>
        <v/>
      </c>
      <c r="Q121" s="2" t="str">
        <f t="shared" si="4"/>
        <v/>
      </c>
      <c r="R121" s="4"/>
      <c r="S121" s="4"/>
      <c r="T121" s="2" t="str">
        <f t="shared" si="5"/>
        <v/>
      </c>
    </row>
    <row r="122" spans="2:20" ht="14.4" x14ac:dyDescent="0.3">
      <c r="B122" s="4"/>
      <c r="C122" s="16"/>
      <c r="D122" s="4"/>
      <c r="E122" s="4"/>
      <c r="F122" s="4"/>
      <c r="G122" s="4"/>
      <c r="H122" s="4"/>
      <c r="I122" s="4"/>
      <c r="J122" s="4"/>
      <c r="K122" s="4"/>
      <c r="L122" s="4"/>
      <c r="M122" s="16"/>
      <c r="N122" s="16"/>
      <c r="O122" s="2" t="str">
        <f ca="1">IF(C122="","",IF(OR(F122="Closed",F122=""),0,IF(N122&lt;&gt;"",MAX(0,N122-M122),MAX(0,TODAY()-IF(M122="",C122+IF(E122="Critical",Admin!$C$11,Admin!$C$10),M122)))))</f>
        <v/>
      </c>
      <c r="P122" s="2" t="str">
        <f t="shared" si="3"/>
        <v/>
      </c>
      <c r="Q122" s="2" t="str">
        <f t="shared" si="4"/>
        <v/>
      </c>
      <c r="R122" s="4"/>
      <c r="S122" s="4"/>
      <c r="T122" s="2" t="str">
        <f t="shared" si="5"/>
        <v/>
      </c>
    </row>
    <row r="123" spans="2:20" ht="14.4" x14ac:dyDescent="0.3">
      <c r="B123" s="4"/>
      <c r="C123" s="16"/>
      <c r="D123" s="4"/>
      <c r="E123" s="4"/>
      <c r="F123" s="4"/>
      <c r="G123" s="4"/>
      <c r="H123" s="4"/>
      <c r="I123" s="4"/>
      <c r="J123" s="4"/>
      <c r="K123" s="4"/>
      <c r="L123" s="4"/>
      <c r="M123" s="16"/>
      <c r="N123" s="16"/>
      <c r="O123" s="2" t="str">
        <f ca="1">IF(C123="","",IF(OR(F123="Closed",F123=""),0,IF(N123&lt;&gt;"",MAX(0,N123-M123),MAX(0,TODAY()-IF(M123="",C123+IF(E123="Critical",Admin!$C$11,Admin!$C$10),M123)))))</f>
        <v/>
      </c>
      <c r="P123" s="2" t="str">
        <f t="shared" si="3"/>
        <v/>
      </c>
      <c r="Q123" s="2" t="str">
        <f t="shared" si="4"/>
        <v/>
      </c>
      <c r="R123" s="4"/>
      <c r="S123" s="4"/>
      <c r="T123" s="2" t="str">
        <f t="shared" si="5"/>
        <v/>
      </c>
    </row>
    <row r="124" spans="2:20" ht="14.4" x14ac:dyDescent="0.3">
      <c r="B124" s="4"/>
      <c r="C124" s="16"/>
      <c r="D124" s="4"/>
      <c r="E124" s="4"/>
      <c r="F124" s="4"/>
      <c r="G124" s="4"/>
      <c r="H124" s="4"/>
      <c r="I124" s="4"/>
      <c r="J124" s="4"/>
      <c r="K124" s="4"/>
      <c r="L124" s="4"/>
      <c r="M124" s="16"/>
      <c r="N124" s="16"/>
      <c r="O124" s="2" t="str">
        <f ca="1">IF(C124="","",IF(OR(F124="Closed",F124=""),0,IF(N124&lt;&gt;"",MAX(0,N124-M124),MAX(0,TODAY()-IF(M124="",C124+IF(E124="Critical",Admin!$C$11,Admin!$C$10),M124)))))</f>
        <v/>
      </c>
      <c r="P124" s="2" t="str">
        <f t="shared" si="3"/>
        <v/>
      </c>
      <c r="Q124" s="2" t="str">
        <f t="shared" si="4"/>
        <v/>
      </c>
      <c r="R124" s="4"/>
      <c r="S124" s="4"/>
      <c r="T124" s="2" t="str">
        <f t="shared" si="5"/>
        <v/>
      </c>
    </row>
    <row r="125" spans="2:20" ht="14.4" x14ac:dyDescent="0.3">
      <c r="B125" s="4"/>
      <c r="C125" s="16"/>
      <c r="D125" s="4"/>
      <c r="E125" s="4"/>
      <c r="F125" s="4"/>
      <c r="G125" s="4"/>
      <c r="H125" s="4"/>
      <c r="I125" s="4"/>
      <c r="J125" s="4"/>
      <c r="K125" s="4"/>
      <c r="L125" s="4"/>
      <c r="M125" s="16"/>
      <c r="N125" s="16"/>
      <c r="O125" s="2" t="str">
        <f ca="1">IF(C125="","",IF(OR(F125="Closed",F125=""),0,IF(N125&lt;&gt;"",MAX(0,N125-M125),MAX(0,TODAY()-IF(M125="",C125+IF(E125="Critical",Admin!$C$11,Admin!$C$10),M125)))))</f>
        <v/>
      </c>
      <c r="P125" s="2" t="str">
        <f t="shared" si="3"/>
        <v/>
      </c>
      <c r="Q125" s="2" t="str">
        <f t="shared" si="4"/>
        <v/>
      </c>
      <c r="R125" s="4"/>
      <c r="S125" s="4"/>
      <c r="T125" s="2" t="str">
        <f t="shared" si="5"/>
        <v/>
      </c>
    </row>
    <row r="126" spans="2:20" ht="14.4" x14ac:dyDescent="0.3">
      <c r="B126" s="4"/>
      <c r="C126" s="16"/>
      <c r="D126" s="4"/>
      <c r="E126" s="4"/>
      <c r="F126" s="4"/>
      <c r="G126" s="4"/>
      <c r="H126" s="4"/>
      <c r="I126" s="4"/>
      <c r="J126" s="4"/>
      <c r="K126" s="4"/>
      <c r="L126" s="4"/>
      <c r="M126" s="16"/>
      <c r="N126" s="16"/>
      <c r="O126" s="2" t="str">
        <f ca="1">IF(C126="","",IF(OR(F126="Closed",F126=""),0,IF(N126&lt;&gt;"",MAX(0,N126-M126),MAX(0,TODAY()-IF(M126="",C126+IF(E126="Critical",Admin!$C$11,Admin!$C$10),M126)))))</f>
        <v/>
      </c>
      <c r="P126" s="2" t="str">
        <f t="shared" si="3"/>
        <v/>
      </c>
      <c r="Q126" s="2" t="str">
        <f t="shared" si="4"/>
        <v/>
      </c>
      <c r="R126" s="4"/>
      <c r="S126" s="4"/>
      <c r="T126" s="2" t="str">
        <f t="shared" si="5"/>
        <v/>
      </c>
    </row>
    <row r="127" spans="2:20" ht="14.4" x14ac:dyDescent="0.3">
      <c r="B127" s="4"/>
      <c r="C127" s="16"/>
      <c r="D127" s="4"/>
      <c r="E127" s="4"/>
      <c r="F127" s="4"/>
      <c r="G127" s="4"/>
      <c r="H127" s="4"/>
      <c r="I127" s="4"/>
      <c r="J127" s="4"/>
      <c r="K127" s="4"/>
      <c r="L127" s="4"/>
      <c r="M127" s="16"/>
      <c r="N127" s="16"/>
      <c r="O127" s="2" t="str">
        <f ca="1">IF(C127="","",IF(OR(F127="Closed",F127=""),0,IF(N127&lt;&gt;"",MAX(0,N127-M127),MAX(0,TODAY()-IF(M127="",C127+IF(E127="Critical",Admin!$C$11,Admin!$C$10),M127)))))</f>
        <v/>
      </c>
      <c r="P127" s="2" t="str">
        <f t="shared" si="3"/>
        <v/>
      </c>
      <c r="Q127" s="2" t="str">
        <f t="shared" si="4"/>
        <v/>
      </c>
      <c r="R127" s="4"/>
      <c r="S127" s="4"/>
      <c r="T127" s="2" t="str">
        <f t="shared" si="5"/>
        <v/>
      </c>
    </row>
    <row r="128" spans="2:20" ht="14.4" x14ac:dyDescent="0.3">
      <c r="B128" s="4"/>
      <c r="C128" s="16"/>
      <c r="D128" s="4"/>
      <c r="E128" s="4"/>
      <c r="F128" s="4"/>
      <c r="G128" s="4"/>
      <c r="H128" s="4"/>
      <c r="I128" s="4"/>
      <c r="J128" s="4"/>
      <c r="K128" s="4"/>
      <c r="L128" s="4"/>
      <c r="M128" s="16"/>
      <c r="N128" s="16"/>
      <c r="O128" s="2" t="str">
        <f ca="1">IF(C128="","",IF(OR(F128="Closed",F128=""),0,IF(N128&lt;&gt;"",MAX(0,N128-M128),MAX(0,TODAY()-IF(M128="",C128+IF(E128="Critical",Admin!$C$11,Admin!$C$10),M128)))))</f>
        <v/>
      </c>
      <c r="P128" s="2" t="str">
        <f t="shared" si="3"/>
        <v/>
      </c>
      <c r="Q128" s="2" t="str">
        <f t="shared" si="4"/>
        <v/>
      </c>
      <c r="R128" s="4"/>
      <c r="S128" s="4"/>
      <c r="T128" s="2" t="str">
        <f t="shared" si="5"/>
        <v/>
      </c>
    </row>
    <row r="129" spans="2:20" ht="14.4" x14ac:dyDescent="0.3">
      <c r="B129" s="4"/>
      <c r="C129" s="16"/>
      <c r="D129" s="4"/>
      <c r="E129" s="4"/>
      <c r="F129" s="4"/>
      <c r="G129" s="4"/>
      <c r="H129" s="4"/>
      <c r="I129" s="4"/>
      <c r="J129" s="4"/>
      <c r="K129" s="4"/>
      <c r="L129" s="4"/>
      <c r="M129" s="16"/>
      <c r="N129" s="16"/>
      <c r="O129" s="2" t="str">
        <f ca="1">IF(C129="","",IF(OR(F129="Closed",F129=""),0,IF(N129&lt;&gt;"",MAX(0,N129-M129),MAX(0,TODAY()-IF(M129="",C129+IF(E129="Critical",Admin!$C$11,Admin!$C$10),M129)))))</f>
        <v/>
      </c>
      <c r="P129" s="2" t="str">
        <f t="shared" si="3"/>
        <v/>
      </c>
      <c r="Q129" s="2" t="str">
        <f t="shared" si="4"/>
        <v/>
      </c>
      <c r="R129" s="4"/>
      <c r="S129" s="4"/>
      <c r="T129" s="2" t="str">
        <f t="shared" si="5"/>
        <v/>
      </c>
    </row>
    <row r="130" spans="2:20" ht="14.4" x14ac:dyDescent="0.3">
      <c r="B130" s="4"/>
      <c r="C130" s="16"/>
      <c r="D130" s="4"/>
      <c r="E130" s="4"/>
      <c r="F130" s="4"/>
      <c r="G130" s="4"/>
      <c r="H130" s="4"/>
      <c r="I130" s="4"/>
      <c r="J130" s="4"/>
      <c r="K130" s="4"/>
      <c r="L130" s="4"/>
      <c r="M130" s="16"/>
      <c r="N130" s="16"/>
      <c r="O130" s="2" t="str">
        <f ca="1">IF(C130="","",IF(OR(F130="Closed",F130=""),0,IF(N130&lt;&gt;"",MAX(0,N130-M130),MAX(0,TODAY()-IF(M130="",C130+IF(E130="Critical",Admin!$C$11,Admin!$C$10),M130)))))</f>
        <v/>
      </c>
      <c r="P130" s="2" t="str">
        <f t="shared" si="3"/>
        <v/>
      </c>
      <c r="Q130" s="2" t="str">
        <f t="shared" si="4"/>
        <v/>
      </c>
      <c r="R130" s="4"/>
      <c r="S130" s="4"/>
      <c r="T130" s="2" t="str">
        <f t="shared" si="5"/>
        <v/>
      </c>
    </row>
    <row r="131" spans="2:20" ht="14.4" x14ac:dyDescent="0.3">
      <c r="B131" s="4"/>
      <c r="C131" s="16"/>
      <c r="D131" s="4"/>
      <c r="E131" s="4"/>
      <c r="F131" s="4"/>
      <c r="G131" s="4"/>
      <c r="H131" s="4"/>
      <c r="I131" s="4"/>
      <c r="J131" s="4"/>
      <c r="K131" s="4"/>
      <c r="L131" s="4"/>
      <c r="M131" s="16"/>
      <c r="N131" s="16"/>
      <c r="O131" s="2" t="str">
        <f ca="1">IF(C131="","",IF(OR(F131="Closed",F131=""),0,IF(N131&lt;&gt;"",MAX(0,N131-M131),MAX(0,TODAY()-IF(M131="",C131+IF(E131="Critical",Admin!$C$11,Admin!$C$10),M131)))))</f>
        <v/>
      </c>
      <c r="P131" s="2" t="str">
        <f t="shared" si="3"/>
        <v/>
      </c>
      <c r="Q131" s="2" t="str">
        <f t="shared" si="4"/>
        <v/>
      </c>
      <c r="R131" s="4"/>
      <c r="S131" s="4"/>
      <c r="T131" s="2" t="str">
        <f t="shared" si="5"/>
        <v/>
      </c>
    </row>
    <row r="132" spans="2:20" ht="14.4" x14ac:dyDescent="0.3">
      <c r="B132" s="4"/>
      <c r="C132" s="16"/>
      <c r="D132" s="4"/>
      <c r="E132" s="4"/>
      <c r="F132" s="4"/>
      <c r="G132" s="4"/>
      <c r="H132" s="4"/>
      <c r="I132" s="4"/>
      <c r="J132" s="4"/>
      <c r="K132" s="4"/>
      <c r="L132" s="4"/>
      <c r="M132" s="16"/>
      <c r="N132" s="16"/>
      <c r="O132" s="2" t="str">
        <f ca="1">IF(C132="","",IF(OR(F132="Closed",F132=""),0,IF(N132&lt;&gt;"",MAX(0,N132-M132),MAX(0,TODAY()-IF(M132="",C132+IF(E132="Critical",Admin!$C$11,Admin!$C$10),M132)))))</f>
        <v/>
      </c>
      <c r="P132" s="2" t="str">
        <f t="shared" si="3"/>
        <v/>
      </c>
      <c r="Q132" s="2" t="str">
        <f t="shared" si="4"/>
        <v/>
      </c>
      <c r="R132" s="4"/>
      <c r="S132" s="4"/>
      <c r="T132" s="2" t="str">
        <f t="shared" si="5"/>
        <v/>
      </c>
    </row>
    <row r="133" spans="2:20" ht="14.4" x14ac:dyDescent="0.3">
      <c r="B133" s="4"/>
      <c r="C133" s="16"/>
      <c r="D133" s="4"/>
      <c r="E133" s="4"/>
      <c r="F133" s="4"/>
      <c r="G133" s="4"/>
      <c r="H133" s="4"/>
      <c r="I133" s="4"/>
      <c r="J133" s="4"/>
      <c r="K133" s="4"/>
      <c r="L133" s="4"/>
      <c r="M133" s="16"/>
      <c r="N133" s="16"/>
      <c r="O133" s="2" t="str">
        <f ca="1">IF(C133="","",IF(OR(F133="Closed",F133=""),0,IF(N133&lt;&gt;"",MAX(0,N133-M133),MAX(0,TODAY()-IF(M133="",C133+IF(E133="Critical",Admin!$C$11,Admin!$C$10),M133)))))</f>
        <v/>
      </c>
      <c r="P133" s="2" t="str">
        <f t="shared" ref="P133:P196" si="6">IF(D133="","",COUNTIFS($D$5:$D$250,D133,$I$5:$I$250,I133,$G$5:$G$250,G133))</f>
        <v/>
      </c>
      <c r="Q133" s="2" t="str">
        <f t="shared" ref="Q133:Q196" si="7">IF(P133="","",IF(P133&gt;=3,"REPEAT ≥3",IF(P133=2,"REPEAT","Unique")))</f>
        <v/>
      </c>
      <c r="R133" s="4"/>
      <c r="S133" s="4"/>
      <c r="T133" s="2" t="str">
        <f t="shared" ref="T133:T196" si="8">IF(E133="","",IF(E133="Critical",25,IF(E133="High",16,IF(E133="Medium",9,4))))</f>
        <v/>
      </c>
    </row>
    <row r="134" spans="2:20" ht="14.4" x14ac:dyDescent="0.3">
      <c r="B134" s="4"/>
      <c r="C134" s="16"/>
      <c r="D134" s="4"/>
      <c r="E134" s="4"/>
      <c r="F134" s="4"/>
      <c r="G134" s="4"/>
      <c r="H134" s="4"/>
      <c r="I134" s="4"/>
      <c r="J134" s="4"/>
      <c r="K134" s="4"/>
      <c r="L134" s="4"/>
      <c r="M134" s="16"/>
      <c r="N134" s="16"/>
      <c r="O134" s="2" t="str">
        <f ca="1">IF(C134="","",IF(OR(F134="Closed",F134=""),0,IF(N134&lt;&gt;"",MAX(0,N134-M134),MAX(0,TODAY()-IF(M134="",C134+IF(E134="Critical",Admin!$C$11,Admin!$C$10),M134)))))</f>
        <v/>
      </c>
      <c r="P134" s="2" t="str">
        <f t="shared" si="6"/>
        <v/>
      </c>
      <c r="Q134" s="2" t="str">
        <f t="shared" si="7"/>
        <v/>
      </c>
      <c r="R134" s="4"/>
      <c r="S134" s="4"/>
      <c r="T134" s="2" t="str">
        <f t="shared" si="8"/>
        <v/>
      </c>
    </row>
    <row r="135" spans="2:20" ht="14.4" x14ac:dyDescent="0.3">
      <c r="B135" s="4"/>
      <c r="C135" s="16"/>
      <c r="D135" s="4"/>
      <c r="E135" s="4"/>
      <c r="F135" s="4"/>
      <c r="G135" s="4"/>
      <c r="H135" s="4"/>
      <c r="I135" s="4"/>
      <c r="J135" s="4"/>
      <c r="K135" s="4"/>
      <c r="L135" s="4"/>
      <c r="M135" s="16"/>
      <c r="N135" s="16"/>
      <c r="O135" s="2" t="str">
        <f ca="1">IF(C135="","",IF(OR(F135="Closed",F135=""),0,IF(N135&lt;&gt;"",MAX(0,N135-M135),MAX(0,TODAY()-IF(M135="",C135+IF(E135="Critical",Admin!$C$11,Admin!$C$10),M135)))))</f>
        <v/>
      </c>
      <c r="P135" s="2" t="str">
        <f t="shared" si="6"/>
        <v/>
      </c>
      <c r="Q135" s="2" t="str">
        <f t="shared" si="7"/>
        <v/>
      </c>
      <c r="R135" s="4"/>
      <c r="S135" s="4"/>
      <c r="T135" s="2" t="str">
        <f t="shared" si="8"/>
        <v/>
      </c>
    </row>
    <row r="136" spans="2:20" ht="14.4" x14ac:dyDescent="0.3">
      <c r="B136" s="4"/>
      <c r="C136" s="16"/>
      <c r="D136" s="4"/>
      <c r="E136" s="4"/>
      <c r="F136" s="4"/>
      <c r="G136" s="4"/>
      <c r="H136" s="4"/>
      <c r="I136" s="4"/>
      <c r="J136" s="4"/>
      <c r="K136" s="4"/>
      <c r="L136" s="4"/>
      <c r="M136" s="16"/>
      <c r="N136" s="16"/>
      <c r="O136" s="2" t="str">
        <f ca="1">IF(C136="","",IF(OR(F136="Closed",F136=""),0,IF(N136&lt;&gt;"",MAX(0,N136-M136),MAX(0,TODAY()-IF(M136="",C136+IF(E136="Critical",Admin!$C$11,Admin!$C$10),M136)))))</f>
        <v/>
      </c>
      <c r="P136" s="2" t="str">
        <f t="shared" si="6"/>
        <v/>
      </c>
      <c r="Q136" s="2" t="str">
        <f t="shared" si="7"/>
        <v/>
      </c>
      <c r="R136" s="4"/>
      <c r="S136" s="4"/>
      <c r="T136" s="2" t="str">
        <f t="shared" si="8"/>
        <v/>
      </c>
    </row>
    <row r="137" spans="2:20" ht="14.4" x14ac:dyDescent="0.3">
      <c r="B137" s="4"/>
      <c r="C137" s="16"/>
      <c r="D137" s="4"/>
      <c r="E137" s="4"/>
      <c r="F137" s="4"/>
      <c r="G137" s="4"/>
      <c r="H137" s="4"/>
      <c r="I137" s="4"/>
      <c r="J137" s="4"/>
      <c r="K137" s="4"/>
      <c r="L137" s="4"/>
      <c r="M137" s="16"/>
      <c r="N137" s="16"/>
      <c r="O137" s="2" t="str">
        <f ca="1">IF(C137="","",IF(OR(F137="Closed",F137=""),0,IF(N137&lt;&gt;"",MAX(0,N137-M137),MAX(0,TODAY()-IF(M137="",C137+IF(E137="Critical",Admin!$C$11,Admin!$C$10),M137)))))</f>
        <v/>
      </c>
      <c r="P137" s="2" t="str">
        <f t="shared" si="6"/>
        <v/>
      </c>
      <c r="Q137" s="2" t="str">
        <f t="shared" si="7"/>
        <v/>
      </c>
      <c r="R137" s="4"/>
      <c r="S137" s="4"/>
      <c r="T137" s="2" t="str">
        <f t="shared" si="8"/>
        <v/>
      </c>
    </row>
    <row r="138" spans="2:20" ht="14.4" x14ac:dyDescent="0.3">
      <c r="B138" s="4"/>
      <c r="C138" s="16"/>
      <c r="D138" s="4"/>
      <c r="E138" s="4"/>
      <c r="F138" s="4"/>
      <c r="G138" s="4"/>
      <c r="H138" s="4"/>
      <c r="I138" s="4"/>
      <c r="J138" s="4"/>
      <c r="K138" s="4"/>
      <c r="L138" s="4"/>
      <c r="M138" s="16"/>
      <c r="N138" s="16"/>
      <c r="O138" s="2" t="str">
        <f ca="1">IF(C138="","",IF(OR(F138="Closed",F138=""),0,IF(N138&lt;&gt;"",MAX(0,N138-M138),MAX(0,TODAY()-IF(M138="",C138+IF(E138="Critical",Admin!$C$11,Admin!$C$10),M138)))))</f>
        <v/>
      </c>
      <c r="P138" s="2" t="str">
        <f t="shared" si="6"/>
        <v/>
      </c>
      <c r="Q138" s="2" t="str">
        <f t="shared" si="7"/>
        <v/>
      </c>
      <c r="R138" s="4"/>
      <c r="S138" s="4"/>
      <c r="T138" s="2" t="str">
        <f t="shared" si="8"/>
        <v/>
      </c>
    </row>
    <row r="139" spans="2:20" ht="14.4" x14ac:dyDescent="0.3">
      <c r="B139" s="4"/>
      <c r="C139" s="16"/>
      <c r="D139" s="4"/>
      <c r="E139" s="4"/>
      <c r="F139" s="4"/>
      <c r="G139" s="4"/>
      <c r="H139" s="4"/>
      <c r="I139" s="4"/>
      <c r="J139" s="4"/>
      <c r="K139" s="4"/>
      <c r="L139" s="4"/>
      <c r="M139" s="16"/>
      <c r="N139" s="16"/>
      <c r="O139" s="2" t="str">
        <f ca="1">IF(C139="","",IF(OR(F139="Closed",F139=""),0,IF(N139&lt;&gt;"",MAX(0,N139-M139),MAX(0,TODAY()-IF(M139="",C139+IF(E139="Critical",Admin!$C$11,Admin!$C$10),M139)))))</f>
        <v/>
      </c>
      <c r="P139" s="2" t="str">
        <f t="shared" si="6"/>
        <v/>
      </c>
      <c r="Q139" s="2" t="str">
        <f t="shared" si="7"/>
        <v/>
      </c>
      <c r="R139" s="4"/>
      <c r="S139" s="4"/>
      <c r="T139" s="2" t="str">
        <f t="shared" si="8"/>
        <v/>
      </c>
    </row>
    <row r="140" spans="2:20" ht="14.4" x14ac:dyDescent="0.3">
      <c r="B140" s="4"/>
      <c r="C140" s="16"/>
      <c r="D140" s="4"/>
      <c r="E140" s="4"/>
      <c r="F140" s="4"/>
      <c r="G140" s="4"/>
      <c r="H140" s="4"/>
      <c r="I140" s="4"/>
      <c r="J140" s="4"/>
      <c r="K140" s="4"/>
      <c r="L140" s="4"/>
      <c r="M140" s="16"/>
      <c r="N140" s="16"/>
      <c r="O140" s="2" t="str">
        <f ca="1">IF(C140="","",IF(OR(F140="Closed",F140=""),0,IF(N140&lt;&gt;"",MAX(0,N140-M140),MAX(0,TODAY()-IF(M140="",C140+IF(E140="Critical",Admin!$C$11,Admin!$C$10),M140)))))</f>
        <v/>
      </c>
      <c r="P140" s="2" t="str">
        <f t="shared" si="6"/>
        <v/>
      </c>
      <c r="Q140" s="2" t="str">
        <f t="shared" si="7"/>
        <v/>
      </c>
      <c r="R140" s="4"/>
      <c r="S140" s="4"/>
      <c r="T140" s="2" t="str">
        <f t="shared" si="8"/>
        <v/>
      </c>
    </row>
    <row r="141" spans="2:20" ht="14.4" x14ac:dyDescent="0.3">
      <c r="B141" s="4"/>
      <c r="C141" s="16"/>
      <c r="D141" s="4"/>
      <c r="E141" s="4"/>
      <c r="F141" s="4"/>
      <c r="G141" s="4"/>
      <c r="H141" s="4"/>
      <c r="I141" s="4"/>
      <c r="J141" s="4"/>
      <c r="K141" s="4"/>
      <c r="L141" s="4"/>
      <c r="M141" s="16"/>
      <c r="N141" s="16"/>
      <c r="O141" s="2" t="str">
        <f ca="1">IF(C141="","",IF(OR(F141="Closed",F141=""),0,IF(N141&lt;&gt;"",MAX(0,N141-M141),MAX(0,TODAY()-IF(M141="",C141+IF(E141="Critical",Admin!$C$11,Admin!$C$10),M141)))))</f>
        <v/>
      </c>
      <c r="P141" s="2" t="str">
        <f t="shared" si="6"/>
        <v/>
      </c>
      <c r="Q141" s="2" t="str">
        <f t="shared" si="7"/>
        <v/>
      </c>
      <c r="R141" s="4"/>
      <c r="S141" s="4"/>
      <c r="T141" s="2" t="str">
        <f t="shared" si="8"/>
        <v/>
      </c>
    </row>
    <row r="142" spans="2:20" ht="14.4" x14ac:dyDescent="0.3">
      <c r="B142" s="4"/>
      <c r="C142" s="16"/>
      <c r="D142" s="4"/>
      <c r="E142" s="4"/>
      <c r="F142" s="4"/>
      <c r="G142" s="4"/>
      <c r="H142" s="4"/>
      <c r="I142" s="4"/>
      <c r="J142" s="4"/>
      <c r="K142" s="4"/>
      <c r="L142" s="4"/>
      <c r="M142" s="16"/>
      <c r="N142" s="16"/>
      <c r="O142" s="2" t="str">
        <f ca="1">IF(C142="","",IF(OR(F142="Closed",F142=""),0,IF(N142&lt;&gt;"",MAX(0,N142-M142),MAX(0,TODAY()-IF(M142="",C142+IF(E142="Critical",Admin!$C$11,Admin!$C$10),M142)))))</f>
        <v/>
      </c>
      <c r="P142" s="2" t="str">
        <f t="shared" si="6"/>
        <v/>
      </c>
      <c r="Q142" s="2" t="str">
        <f t="shared" si="7"/>
        <v/>
      </c>
      <c r="R142" s="4"/>
      <c r="S142" s="4"/>
      <c r="T142" s="2" t="str">
        <f t="shared" si="8"/>
        <v/>
      </c>
    </row>
    <row r="143" spans="2:20" ht="14.4" x14ac:dyDescent="0.3">
      <c r="B143" s="4"/>
      <c r="C143" s="16"/>
      <c r="D143" s="4"/>
      <c r="E143" s="4"/>
      <c r="F143" s="4"/>
      <c r="G143" s="4"/>
      <c r="H143" s="4"/>
      <c r="I143" s="4"/>
      <c r="J143" s="4"/>
      <c r="K143" s="4"/>
      <c r="L143" s="4"/>
      <c r="M143" s="16"/>
      <c r="N143" s="16"/>
      <c r="O143" s="2" t="str">
        <f ca="1">IF(C143="","",IF(OR(F143="Closed",F143=""),0,IF(N143&lt;&gt;"",MAX(0,N143-M143),MAX(0,TODAY()-IF(M143="",C143+IF(E143="Critical",Admin!$C$11,Admin!$C$10),M143)))))</f>
        <v/>
      </c>
      <c r="P143" s="2" t="str">
        <f t="shared" si="6"/>
        <v/>
      </c>
      <c r="Q143" s="2" t="str">
        <f t="shared" si="7"/>
        <v/>
      </c>
      <c r="R143" s="4"/>
      <c r="S143" s="4"/>
      <c r="T143" s="2" t="str">
        <f t="shared" si="8"/>
        <v/>
      </c>
    </row>
    <row r="144" spans="2:20" ht="14.4" x14ac:dyDescent="0.3">
      <c r="B144" s="4"/>
      <c r="C144" s="16"/>
      <c r="D144" s="4"/>
      <c r="E144" s="4"/>
      <c r="F144" s="4"/>
      <c r="G144" s="4"/>
      <c r="H144" s="4"/>
      <c r="I144" s="4"/>
      <c r="J144" s="4"/>
      <c r="K144" s="4"/>
      <c r="L144" s="4"/>
      <c r="M144" s="16"/>
      <c r="N144" s="16"/>
      <c r="O144" s="2" t="str">
        <f ca="1">IF(C144="","",IF(OR(F144="Closed",F144=""),0,IF(N144&lt;&gt;"",MAX(0,N144-M144),MAX(0,TODAY()-IF(M144="",C144+IF(E144="Critical",Admin!$C$11,Admin!$C$10),M144)))))</f>
        <v/>
      </c>
      <c r="P144" s="2" t="str">
        <f t="shared" si="6"/>
        <v/>
      </c>
      <c r="Q144" s="2" t="str">
        <f t="shared" si="7"/>
        <v/>
      </c>
      <c r="R144" s="4"/>
      <c r="S144" s="4"/>
      <c r="T144" s="2" t="str">
        <f t="shared" si="8"/>
        <v/>
      </c>
    </row>
    <row r="145" spans="2:20" ht="14.4" x14ac:dyDescent="0.3">
      <c r="B145" s="4"/>
      <c r="C145" s="16"/>
      <c r="D145" s="4"/>
      <c r="E145" s="4"/>
      <c r="F145" s="4"/>
      <c r="G145" s="4"/>
      <c r="H145" s="4"/>
      <c r="I145" s="4"/>
      <c r="J145" s="4"/>
      <c r="K145" s="4"/>
      <c r="L145" s="4"/>
      <c r="M145" s="16"/>
      <c r="N145" s="16"/>
      <c r="O145" s="2" t="str">
        <f ca="1">IF(C145="","",IF(OR(F145="Closed",F145=""),0,IF(N145&lt;&gt;"",MAX(0,N145-M145),MAX(0,TODAY()-IF(M145="",C145+IF(E145="Critical",Admin!$C$11,Admin!$C$10),M145)))))</f>
        <v/>
      </c>
      <c r="P145" s="2" t="str">
        <f t="shared" si="6"/>
        <v/>
      </c>
      <c r="Q145" s="2" t="str">
        <f t="shared" si="7"/>
        <v/>
      </c>
      <c r="R145" s="4"/>
      <c r="S145" s="4"/>
      <c r="T145" s="2" t="str">
        <f t="shared" si="8"/>
        <v/>
      </c>
    </row>
    <row r="146" spans="2:20" ht="14.4" x14ac:dyDescent="0.3">
      <c r="B146" s="4"/>
      <c r="C146" s="16"/>
      <c r="D146" s="4"/>
      <c r="E146" s="4"/>
      <c r="F146" s="4"/>
      <c r="G146" s="4"/>
      <c r="H146" s="4"/>
      <c r="I146" s="4"/>
      <c r="J146" s="4"/>
      <c r="K146" s="4"/>
      <c r="L146" s="4"/>
      <c r="M146" s="16"/>
      <c r="N146" s="16"/>
      <c r="O146" s="2" t="str">
        <f ca="1">IF(C146="","",IF(OR(F146="Closed",F146=""),0,IF(N146&lt;&gt;"",MAX(0,N146-M146),MAX(0,TODAY()-IF(M146="",C146+IF(E146="Critical",Admin!$C$11,Admin!$C$10),M146)))))</f>
        <v/>
      </c>
      <c r="P146" s="2" t="str">
        <f t="shared" si="6"/>
        <v/>
      </c>
      <c r="Q146" s="2" t="str">
        <f t="shared" si="7"/>
        <v/>
      </c>
      <c r="R146" s="4"/>
      <c r="S146" s="4"/>
      <c r="T146" s="2" t="str">
        <f t="shared" si="8"/>
        <v/>
      </c>
    </row>
    <row r="147" spans="2:20" ht="14.4" x14ac:dyDescent="0.3">
      <c r="B147" s="4"/>
      <c r="C147" s="16"/>
      <c r="D147" s="4"/>
      <c r="E147" s="4"/>
      <c r="F147" s="4"/>
      <c r="G147" s="4"/>
      <c r="H147" s="4"/>
      <c r="I147" s="4"/>
      <c r="J147" s="4"/>
      <c r="K147" s="4"/>
      <c r="L147" s="4"/>
      <c r="M147" s="16"/>
      <c r="N147" s="16"/>
      <c r="O147" s="2" t="str">
        <f ca="1">IF(C147="","",IF(OR(F147="Closed",F147=""),0,IF(N147&lt;&gt;"",MAX(0,N147-M147),MAX(0,TODAY()-IF(M147="",C147+IF(E147="Critical",Admin!$C$11,Admin!$C$10),M147)))))</f>
        <v/>
      </c>
      <c r="P147" s="2" t="str">
        <f t="shared" si="6"/>
        <v/>
      </c>
      <c r="Q147" s="2" t="str">
        <f t="shared" si="7"/>
        <v/>
      </c>
      <c r="R147" s="4"/>
      <c r="S147" s="4"/>
      <c r="T147" s="2" t="str">
        <f t="shared" si="8"/>
        <v/>
      </c>
    </row>
    <row r="148" spans="2:20" ht="14.4" x14ac:dyDescent="0.3">
      <c r="B148" s="4"/>
      <c r="C148" s="16"/>
      <c r="D148" s="4"/>
      <c r="E148" s="4"/>
      <c r="F148" s="4"/>
      <c r="G148" s="4"/>
      <c r="H148" s="4"/>
      <c r="I148" s="4"/>
      <c r="J148" s="4"/>
      <c r="K148" s="4"/>
      <c r="L148" s="4"/>
      <c r="M148" s="16"/>
      <c r="N148" s="16"/>
      <c r="O148" s="2" t="str">
        <f ca="1">IF(C148="","",IF(OR(F148="Closed",F148=""),0,IF(N148&lt;&gt;"",MAX(0,N148-M148),MAX(0,TODAY()-IF(M148="",C148+IF(E148="Critical",Admin!$C$11,Admin!$C$10),M148)))))</f>
        <v/>
      </c>
      <c r="P148" s="2" t="str">
        <f t="shared" si="6"/>
        <v/>
      </c>
      <c r="Q148" s="2" t="str">
        <f t="shared" si="7"/>
        <v/>
      </c>
      <c r="R148" s="4"/>
      <c r="S148" s="4"/>
      <c r="T148" s="2" t="str">
        <f t="shared" si="8"/>
        <v/>
      </c>
    </row>
    <row r="149" spans="2:20" ht="14.4" x14ac:dyDescent="0.3">
      <c r="B149" s="4"/>
      <c r="C149" s="16"/>
      <c r="D149" s="4"/>
      <c r="E149" s="4"/>
      <c r="F149" s="4"/>
      <c r="G149" s="4"/>
      <c r="H149" s="4"/>
      <c r="I149" s="4"/>
      <c r="J149" s="4"/>
      <c r="K149" s="4"/>
      <c r="L149" s="4"/>
      <c r="M149" s="16"/>
      <c r="N149" s="16"/>
      <c r="O149" s="2" t="str">
        <f ca="1">IF(C149="","",IF(OR(F149="Closed",F149=""),0,IF(N149&lt;&gt;"",MAX(0,N149-M149),MAX(0,TODAY()-IF(M149="",C149+IF(E149="Critical",Admin!$C$11,Admin!$C$10),M149)))))</f>
        <v/>
      </c>
      <c r="P149" s="2" t="str">
        <f t="shared" si="6"/>
        <v/>
      </c>
      <c r="Q149" s="2" t="str">
        <f t="shared" si="7"/>
        <v/>
      </c>
      <c r="R149" s="4"/>
      <c r="S149" s="4"/>
      <c r="T149" s="2" t="str">
        <f t="shared" si="8"/>
        <v/>
      </c>
    </row>
    <row r="150" spans="2:20" ht="14.4" x14ac:dyDescent="0.3">
      <c r="B150" s="4"/>
      <c r="C150" s="16"/>
      <c r="D150" s="4"/>
      <c r="E150" s="4"/>
      <c r="F150" s="4"/>
      <c r="G150" s="4"/>
      <c r="H150" s="4"/>
      <c r="I150" s="4"/>
      <c r="J150" s="4"/>
      <c r="K150" s="4"/>
      <c r="L150" s="4"/>
      <c r="M150" s="16"/>
      <c r="N150" s="16"/>
      <c r="O150" s="2" t="str">
        <f ca="1">IF(C150="","",IF(OR(F150="Closed",F150=""),0,IF(N150&lt;&gt;"",MAX(0,N150-M150),MAX(0,TODAY()-IF(M150="",C150+IF(E150="Critical",Admin!$C$11,Admin!$C$10),M150)))))</f>
        <v/>
      </c>
      <c r="P150" s="2" t="str">
        <f t="shared" si="6"/>
        <v/>
      </c>
      <c r="Q150" s="2" t="str">
        <f t="shared" si="7"/>
        <v/>
      </c>
      <c r="R150" s="4"/>
      <c r="S150" s="4"/>
      <c r="T150" s="2" t="str">
        <f t="shared" si="8"/>
        <v/>
      </c>
    </row>
    <row r="151" spans="2:20" ht="14.4" x14ac:dyDescent="0.3">
      <c r="B151" s="4"/>
      <c r="C151" s="16"/>
      <c r="D151" s="4"/>
      <c r="E151" s="4"/>
      <c r="F151" s="4"/>
      <c r="G151" s="4"/>
      <c r="H151" s="4"/>
      <c r="I151" s="4"/>
      <c r="J151" s="4"/>
      <c r="K151" s="4"/>
      <c r="L151" s="4"/>
      <c r="M151" s="16"/>
      <c r="N151" s="16"/>
      <c r="O151" s="2" t="str">
        <f ca="1">IF(C151="","",IF(OR(F151="Closed",F151=""),0,IF(N151&lt;&gt;"",MAX(0,N151-M151),MAX(0,TODAY()-IF(M151="",C151+IF(E151="Critical",Admin!$C$11,Admin!$C$10),M151)))))</f>
        <v/>
      </c>
      <c r="P151" s="2" t="str">
        <f t="shared" si="6"/>
        <v/>
      </c>
      <c r="Q151" s="2" t="str">
        <f t="shared" si="7"/>
        <v/>
      </c>
      <c r="R151" s="4"/>
      <c r="S151" s="4"/>
      <c r="T151" s="2" t="str">
        <f t="shared" si="8"/>
        <v/>
      </c>
    </row>
    <row r="152" spans="2:20" ht="14.4" x14ac:dyDescent="0.3">
      <c r="B152" s="4"/>
      <c r="C152" s="16"/>
      <c r="D152" s="4"/>
      <c r="E152" s="4"/>
      <c r="F152" s="4"/>
      <c r="G152" s="4"/>
      <c r="H152" s="4"/>
      <c r="I152" s="4"/>
      <c r="J152" s="4"/>
      <c r="K152" s="4"/>
      <c r="L152" s="4"/>
      <c r="M152" s="16"/>
      <c r="N152" s="16"/>
      <c r="O152" s="2" t="str">
        <f ca="1">IF(C152="","",IF(OR(F152="Closed",F152=""),0,IF(N152&lt;&gt;"",MAX(0,N152-M152),MAX(0,TODAY()-IF(M152="",C152+IF(E152="Critical",Admin!$C$11,Admin!$C$10),M152)))))</f>
        <v/>
      </c>
      <c r="P152" s="2" t="str">
        <f t="shared" si="6"/>
        <v/>
      </c>
      <c r="Q152" s="2" t="str">
        <f t="shared" si="7"/>
        <v/>
      </c>
      <c r="R152" s="4"/>
      <c r="S152" s="4"/>
      <c r="T152" s="2" t="str">
        <f t="shared" si="8"/>
        <v/>
      </c>
    </row>
    <row r="153" spans="2:20" ht="14.4" x14ac:dyDescent="0.3">
      <c r="B153" s="4"/>
      <c r="C153" s="16"/>
      <c r="D153" s="4"/>
      <c r="E153" s="4"/>
      <c r="F153" s="4"/>
      <c r="G153" s="4"/>
      <c r="H153" s="4"/>
      <c r="I153" s="4"/>
      <c r="J153" s="4"/>
      <c r="K153" s="4"/>
      <c r="L153" s="4"/>
      <c r="M153" s="16"/>
      <c r="N153" s="16"/>
      <c r="O153" s="2" t="str">
        <f ca="1">IF(C153="","",IF(OR(F153="Closed",F153=""),0,IF(N153&lt;&gt;"",MAX(0,N153-M153),MAX(0,TODAY()-IF(M153="",C153+IF(E153="Critical",Admin!$C$11,Admin!$C$10),M153)))))</f>
        <v/>
      </c>
      <c r="P153" s="2" t="str">
        <f t="shared" si="6"/>
        <v/>
      </c>
      <c r="Q153" s="2" t="str">
        <f t="shared" si="7"/>
        <v/>
      </c>
      <c r="R153" s="4"/>
      <c r="S153" s="4"/>
      <c r="T153" s="2" t="str">
        <f t="shared" si="8"/>
        <v/>
      </c>
    </row>
    <row r="154" spans="2:20" ht="14.4" x14ac:dyDescent="0.3">
      <c r="B154" s="4"/>
      <c r="C154" s="16"/>
      <c r="D154" s="4"/>
      <c r="E154" s="4"/>
      <c r="F154" s="4"/>
      <c r="G154" s="4"/>
      <c r="H154" s="4"/>
      <c r="I154" s="4"/>
      <c r="J154" s="4"/>
      <c r="K154" s="4"/>
      <c r="L154" s="4"/>
      <c r="M154" s="16"/>
      <c r="N154" s="16"/>
      <c r="O154" s="2" t="str">
        <f ca="1">IF(C154="","",IF(OR(F154="Closed",F154=""),0,IF(N154&lt;&gt;"",MAX(0,N154-M154),MAX(0,TODAY()-IF(M154="",C154+IF(E154="Critical",Admin!$C$11,Admin!$C$10),M154)))))</f>
        <v/>
      </c>
      <c r="P154" s="2" t="str">
        <f t="shared" si="6"/>
        <v/>
      </c>
      <c r="Q154" s="2" t="str">
        <f t="shared" si="7"/>
        <v/>
      </c>
      <c r="R154" s="4"/>
      <c r="S154" s="4"/>
      <c r="T154" s="2" t="str">
        <f t="shared" si="8"/>
        <v/>
      </c>
    </row>
    <row r="155" spans="2:20" ht="14.4" x14ac:dyDescent="0.3">
      <c r="B155" s="4"/>
      <c r="C155" s="16"/>
      <c r="D155" s="4"/>
      <c r="E155" s="4"/>
      <c r="F155" s="4"/>
      <c r="G155" s="4"/>
      <c r="H155" s="4"/>
      <c r="I155" s="4"/>
      <c r="J155" s="4"/>
      <c r="K155" s="4"/>
      <c r="L155" s="4"/>
      <c r="M155" s="16"/>
      <c r="N155" s="16"/>
      <c r="O155" s="2" t="str">
        <f ca="1">IF(C155="","",IF(OR(F155="Closed",F155=""),0,IF(N155&lt;&gt;"",MAX(0,N155-M155),MAX(0,TODAY()-IF(M155="",C155+IF(E155="Critical",Admin!$C$11,Admin!$C$10),M155)))))</f>
        <v/>
      </c>
      <c r="P155" s="2" t="str">
        <f t="shared" si="6"/>
        <v/>
      </c>
      <c r="Q155" s="2" t="str">
        <f t="shared" si="7"/>
        <v/>
      </c>
      <c r="R155" s="4"/>
      <c r="S155" s="4"/>
      <c r="T155" s="2" t="str">
        <f t="shared" si="8"/>
        <v/>
      </c>
    </row>
    <row r="156" spans="2:20" ht="14.4" x14ac:dyDescent="0.3">
      <c r="B156" s="4"/>
      <c r="C156" s="16"/>
      <c r="D156" s="4"/>
      <c r="E156" s="4"/>
      <c r="F156" s="4"/>
      <c r="G156" s="4"/>
      <c r="H156" s="4"/>
      <c r="I156" s="4"/>
      <c r="J156" s="4"/>
      <c r="K156" s="4"/>
      <c r="L156" s="4"/>
      <c r="M156" s="16"/>
      <c r="N156" s="16"/>
      <c r="O156" s="2" t="str">
        <f ca="1">IF(C156="","",IF(OR(F156="Closed",F156=""),0,IF(N156&lt;&gt;"",MAX(0,N156-M156),MAX(0,TODAY()-IF(M156="",C156+IF(E156="Critical",Admin!$C$11,Admin!$C$10),M156)))))</f>
        <v/>
      </c>
      <c r="P156" s="2" t="str">
        <f t="shared" si="6"/>
        <v/>
      </c>
      <c r="Q156" s="2" t="str">
        <f t="shared" si="7"/>
        <v/>
      </c>
      <c r="R156" s="4"/>
      <c r="S156" s="4"/>
      <c r="T156" s="2" t="str">
        <f t="shared" si="8"/>
        <v/>
      </c>
    </row>
    <row r="157" spans="2:20" ht="14.4" x14ac:dyDescent="0.3">
      <c r="B157" s="4"/>
      <c r="C157" s="16"/>
      <c r="D157" s="4"/>
      <c r="E157" s="4"/>
      <c r="F157" s="4"/>
      <c r="G157" s="4"/>
      <c r="H157" s="4"/>
      <c r="I157" s="4"/>
      <c r="J157" s="4"/>
      <c r="K157" s="4"/>
      <c r="L157" s="4"/>
      <c r="M157" s="16"/>
      <c r="N157" s="16"/>
      <c r="O157" s="2" t="str">
        <f ca="1">IF(C157="","",IF(OR(F157="Closed",F157=""),0,IF(N157&lt;&gt;"",MAX(0,N157-M157),MAX(0,TODAY()-IF(M157="",C157+IF(E157="Critical",Admin!$C$11,Admin!$C$10),M157)))))</f>
        <v/>
      </c>
      <c r="P157" s="2" t="str">
        <f t="shared" si="6"/>
        <v/>
      </c>
      <c r="Q157" s="2" t="str">
        <f t="shared" si="7"/>
        <v/>
      </c>
      <c r="R157" s="4"/>
      <c r="S157" s="4"/>
      <c r="T157" s="2" t="str">
        <f t="shared" si="8"/>
        <v/>
      </c>
    </row>
    <row r="158" spans="2:20" ht="14.4" x14ac:dyDescent="0.3">
      <c r="B158" s="4"/>
      <c r="C158" s="16"/>
      <c r="D158" s="4"/>
      <c r="E158" s="4"/>
      <c r="F158" s="4"/>
      <c r="G158" s="4"/>
      <c r="H158" s="4"/>
      <c r="I158" s="4"/>
      <c r="J158" s="4"/>
      <c r="K158" s="4"/>
      <c r="L158" s="4"/>
      <c r="M158" s="16"/>
      <c r="N158" s="16"/>
      <c r="O158" s="2" t="str">
        <f ca="1">IF(C158="","",IF(OR(F158="Closed",F158=""),0,IF(N158&lt;&gt;"",MAX(0,N158-M158),MAX(0,TODAY()-IF(M158="",C158+IF(E158="Critical",Admin!$C$11,Admin!$C$10),M158)))))</f>
        <v/>
      </c>
      <c r="P158" s="2" t="str">
        <f t="shared" si="6"/>
        <v/>
      </c>
      <c r="Q158" s="2" t="str">
        <f t="shared" si="7"/>
        <v/>
      </c>
      <c r="R158" s="4"/>
      <c r="S158" s="4"/>
      <c r="T158" s="2" t="str">
        <f t="shared" si="8"/>
        <v/>
      </c>
    </row>
    <row r="159" spans="2:20" ht="14.4" x14ac:dyDescent="0.3">
      <c r="B159" s="4"/>
      <c r="C159" s="16"/>
      <c r="D159" s="4"/>
      <c r="E159" s="4"/>
      <c r="F159" s="4"/>
      <c r="G159" s="4"/>
      <c r="H159" s="4"/>
      <c r="I159" s="4"/>
      <c r="J159" s="4"/>
      <c r="K159" s="4"/>
      <c r="L159" s="4"/>
      <c r="M159" s="16"/>
      <c r="N159" s="16"/>
      <c r="O159" s="2" t="str">
        <f ca="1">IF(C159="","",IF(OR(F159="Closed",F159=""),0,IF(N159&lt;&gt;"",MAX(0,N159-M159),MAX(0,TODAY()-IF(M159="",C159+IF(E159="Critical",Admin!$C$11,Admin!$C$10),M159)))))</f>
        <v/>
      </c>
      <c r="P159" s="2" t="str">
        <f t="shared" si="6"/>
        <v/>
      </c>
      <c r="Q159" s="2" t="str">
        <f t="shared" si="7"/>
        <v/>
      </c>
      <c r="R159" s="4"/>
      <c r="S159" s="4"/>
      <c r="T159" s="2" t="str">
        <f t="shared" si="8"/>
        <v/>
      </c>
    </row>
    <row r="160" spans="2:20" ht="14.4" x14ac:dyDescent="0.3">
      <c r="B160" s="4"/>
      <c r="C160" s="16"/>
      <c r="D160" s="4"/>
      <c r="E160" s="4"/>
      <c r="F160" s="4"/>
      <c r="G160" s="4"/>
      <c r="H160" s="4"/>
      <c r="I160" s="4"/>
      <c r="J160" s="4"/>
      <c r="K160" s="4"/>
      <c r="L160" s="4"/>
      <c r="M160" s="16"/>
      <c r="N160" s="16"/>
      <c r="O160" s="2" t="str">
        <f ca="1">IF(C160="","",IF(OR(F160="Closed",F160=""),0,IF(N160&lt;&gt;"",MAX(0,N160-M160),MAX(0,TODAY()-IF(M160="",C160+IF(E160="Critical",Admin!$C$11,Admin!$C$10),M160)))))</f>
        <v/>
      </c>
      <c r="P160" s="2" t="str">
        <f t="shared" si="6"/>
        <v/>
      </c>
      <c r="Q160" s="2" t="str">
        <f t="shared" si="7"/>
        <v/>
      </c>
      <c r="R160" s="4"/>
      <c r="S160" s="4"/>
      <c r="T160" s="2" t="str">
        <f t="shared" si="8"/>
        <v/>
      </c>
    </row>
    <row r="161" spans="2:20" ht="14.4" x14ac:dyDescent="0.3">
      <c r="B161" s="4"/>
      <c r="C161" s="16"/>
      <c r="D161" s="4"/>
      <c r="E161" s="4"/>
      <c r="F161" s="4"/>
      <c r="G161" s="4"/>
      <c r="H161" s="4"/>
      <c r="I161" s="4"/>
      <c r="J161" s="4"/>
      <c r="K161" s="4"/>
      <c r="L161" s="4"/>
      <c r="M161" s="16"/>
      <c r="N161" s="16"/>
      <c r="O161" s="2" t="str">
        <f ca="1">IF(C161="","",IF(OR(F161="Closed",F161=""),0,IF(N161&lt;&gt;"",MAX(0,N161-M161),MAX(0,TODAY()-IF(M161="",C161+IF(E161="Critical",Admin!$C$11,Admin!$C$10),M161)))))</f>
        <v/>
      </c>
      <c r="P161" s="2" t="str">
        <f t="shared" si="6"/>
        <v/>
      </c>
      <c r="Q161" s="2" t="str">
        <f t="shared" si="7"/>
        <v/>
      </c>
      <c r="R161" s="4"/>
      <c r="S161" s="4"/>
      <c r="T161" s="2" t="str">
        <f t="shared" si="8"/>
        <v/>
      </c>
    </row>
    <row r="162" spans="2:20" ht="14.4" x14ac:dyDescent="0.3">
      <c r="B162" s="4"/>
      <c r="C162" s="16"/>
      <c r="D162" s="4"/>
      <c r="E162" s="4"/>
      <c r="F162" s="4"/>
      <c r="G162" s="4"/>
      <c r="H162" s="4"/>
      <c r="I162" s="4"/>
      <c r="J162" s="4"/>
      <c r="K162" s="4"/>
      <c r="L162" s="4"/>
      <c r="M162" s="16"/>
      <c r="N162" s="16"/>
      <c r="O162" s="2" t="str">
        <f ca="1">IF(C162="","",IF(OR(F162="Closed",F162=""),0,IF(N162&lt;&gt;"",MAX(0,N162-M162),MAX(0,TODAY()-IF(M162="",C162+IF(E162="Critical",Admin!$C$11,Admin!$C$10),M162)))))</f>
        <v/>
      </c>
      <c r="P162" s="2" t="str">
        <f t="shared" si="6"/>
        <v/>
      </c>
      <c r="Q162" s="2" t="str">
        <f t="shared" si="7"/>
        <v/>
      </c>
      <c r="R162" s="4"/>
      <c r="S162" s="4"/>
      <c r="T162" s="2" t="str">
        <f t="shared" si="8"/>
        <v/>
      </c>
    </row>
    <row r="163" spans="2:20" ht="14.4" x14ac:dyDescent="0.3">
      <c r="B163" s="4"/>
      <c r="C163" s="16"/>
      <c r="D163" s="4"/>
      <c r="E163" s="4"/>
      <c r="F163" s="4"/>
      <c r="G163" s="4"/>
      <c r="H163" s="4"/>
      <c r="I163" s="4"/>
      <c r="J163" s="4"/>
      <c r="K163" s="4"/>
      <c r="L163" s="4"/>
      <c r="M163" s="16"/>
      <c r="N163" s="16"/>
      <c r="O163" s="2" t="str">
        <f ca="1">IF(C163="","",IF(OR(F163="Closed",F163=""),0,IF(N163&lt;&gt;"",MAX(0,N163-M163),MAX(0,TODAY()-IF(M163="",C163+IF(E163="Critical",Admin!$C$11,Admin!$C$10),M163)))))</f>
        <v/>
      </c>
      <c r="P163" s="2" t="str">
        <f t="shared" si="6"/>
        <v/>
      </c>
      <c r="Q163" s="2" t="str">
        <f t="shared" si="7"/>
        <v/>
      </c>
      <c r="R163" s="4"/>
      <c r="S163" s="4"/>
      <c r="T163" s="2" t="str">
        <f t="shared" si="8"/>
        <v/>
      </c>
    </row>
    <row r="164" spans="2:20" ht="14.4" x14ac:dyDescent="0.3">
      <c r="B164" s="4"/>
      <c r="C164" s="16"/>
      <c r="D164" s="4"/>
      <c r="E164" s="4"/>
      <c r="F164" s="4"/>
      <c r="G164" s="4"/>
      <c r="H164" s="4"/>
      <c r="I164" s="4"/>
      <c r="J164" s="4"/>
      <c r="K164" s="4"/>
      <c r="L164" s="4"/>
      <c r="M164" s="16"/>
      <c r="N164" s="16"/>
      <c r="O164" s="2" t="str">
        <f ca="1">IF(C164="","",IF(OR(F164="Closed",F164=""),0,IF(N164&lt;&gt;"",MAX(0,N164-M164),MAX(0,TODAY()-IF(M164="",C164+IF(E164="Critical",Admin!$C$11,Admin!$C$10),M164)))))</f>
        <v/>
      </c>
      <c r="P164" s="2" t="str">
        <f t="shared" si="6"/>
        <v/>
      </c>
      <c r="Q164" s="2" t="str">
        <f t="shared" si="7"/>
        <v/>
      </c>
      <c r="R164" s="4"/>
      <c r="S164" s="4"/>
      <c r="T164" s="2" t="str">
        <f t="shared" si="8"/>
        <v/>
      </c>
    </row>
    <row r="165" spans="2:20" ht="14.4" x14ac:dyDescent="0.3">
      <c r="B165" s="4"/>
      <c r="C165" s="16"/>
      <c r="D165" s="4"/>
      <c r="E165" s="4"/>
      <c r="F165" s="4"/>
      <c r="G165" s="4"/>
      <c r="H165" s="4"/>
      <c r="I165" s="4"/>
      <c r="J165" s="4"/>
      <c r="K165" s="4"/>
      <c r="L165" s="4"/>
      <c r="M165" s="16"/>
      <c r="N165" s="16"/>
      <c r="O165" s="2" t="str">
        <f ca="1">IF(C165="","",IF(OR(F165="Closed",F165=""),0,IF(N165&lt;&gt;"",MAX(0,N165-M165),MAX(0,TODAY()-IF(M165="",C165+IF(E165="Critical",Admin!$C$11,Admin!$C$10),M165)))))</f>
        <v/>
      </c>
      <c r="P165" s="2" t="str">
        <f t="shared" si="6"/>
        <v/>
      </c>
      <c r="Q165" s="2" t="str">
        <f t="shared" si="7"/>
        <v/>
      </c>
      <c r="R165" s="4"/>
      <c r="S165" s="4"/>
      <c r="T165" s="2" t="str">
        <f t="shared" si="8"/>
        <v/>
      </c>
    </row>
    <row r="166" spans="2:20" ht="14.4" x14ac:dyDescent="0.3">
      <c r="B166" s="4"/>
      <c r="C166" s="16"/>
      <c r="D166" s="4"/>
      <c r="E166" s="4"/>
      <c r="F166" s="4"/>
      <c r="G166" s="4"/>
      <c r="H166" s="4"/>
      <c r="I166" s="4"/>
      <c r="J166" s="4"/>
      <c r="K166" s="4"/>
      <c r="L166" s="4"/>
      <c r="M166" s="16"/>
      <c r="N166" s="16"/>
      <c r="O166" s="2" t="str">
        <f ca="1">IF(C166="","",IF(OR(F166="Closed",F166=""),0,IF(N166&lt;&gt;"",MAX(0,N166-M166),MAX(0,TODAY()-IF(M166="",C166+IF(E166="Critical",Admin!$C$11,Admin!$C$10),M166)))))</f>
        <v/>
      </c>
      <c r="P166" s="2" t="str">
        <f t="shared" si="6"/>
        <v/>
      </c>
      <c r="Q166" s="2" t="str">
        <f t="shared" si="7"/>
        <v/>
      </c>
      <c r="R166" s="4"/>
      <c r="S166" s="4"/>
      <c r="T166" s="2" t="str">
        <f t="shared" si="8"/>
        <v/>
      </c>
    </row>
    <row r="167" spans="2:20" ht="14.4" x14ac:dyDescent="0.3">
      <c r="B167" s="4"/>
      <c r="C167" s="16"/>
      <c r="D167" s="4"/>
      <c r="E167" s="4"/>
      <c r="F167" s="4"/>
      <c r="G167" s="4"/>
      <c r="H167" s="4"/>
      <c r="I167" s="4"/>
      <c r="J167" s="4"/>
      <c r="K167" s="4"/>
      <c r="L167" s="4"/>
      <c r="M167" s="16"/>
      <c r="N167" s="16"/>
      <c r="O167" s="2" t="str">
        <f ca="1">IF(C167="","",IF(OR(F167="Closed",F167=""),0,IF(N167&lt;&gt;"",MAX(0,N167-M167),MAX(0,TODAY()-IF(M167="",C167+IF(E167="Critical",Admin!$C$11,Admin!$C$10),M167)))))</f>
        <v/>
      </c>
      <c r="P167" s="2" t="str">
        <f t="shared" si="6"/>
        <v/>
      </c>
      <c r="Q167" s="2" t="str">
        <f t="shared" si="7"/>
        <v/>
      </c>
      <c r="R167" s="4"/>
      <c r="S167" s="4"/>
      <c r="T167" s="2" t="str">
        <f t="shared" si="8"/>
        <v/>
      </c>
    </row>
    <row r="168" spans="2:20" ht="14.4" x14ac:dyDescent="0.3">
      <c r="B168" s="4"/>
      <c r="C168" s="16"/>
      <c r="D168" s="4"/>
      <c r="E168" s="4"/>
      <c r="F168" s="4"/>
      <c r="G168" s="4"/>
      <c r="H168" s="4"/>
      <c r="I168" s="4"/>
      <c r="J168" s="4"/>
      <c r="K168" s="4"/>
      <c r="L168" s="4"/>
      <c r="M168" s="16"/>
      <c r="N168" s="16"/>
      <c r="O168" s="2" t="str">
        <f ca="1">IF(C168="","",IF(OR(F168="Closed",F168=""),0,IF(N168&lt;&gt;"",MAX(0,N168-M168),MAX(0,TODAY()-IF(M168="",C168+IF(E168="Critical",Admin!$C$11,Admin!$C$10),M168)))))</f>
        <v/>
      </c>
      <c r="P168" s="2" t="str">
        <f t="shared" si="6"/>
        <v/>
      </c>
      <c r="Q168" s="2" t="str">
        <f t="shared" si="7"/>
        <v/>
      </c>
      <c r="R168" s="4"/>
      <c r="S168" s="4"/>
      <c r="T168" s="2" t="str">
        <f t="shared" si="8"/>
        <v/>
      </c>
    </row>
    <row r="169" spans="2:20" ht="14.4" x14ac:dyDescent="0.3">
      <c r="B169" s="4"/>
      <c r="C169" s="16"/>
      <c r="D169" s="4"/>
      <c r="E169" s="4"/>
      <c r="F169" s="4"/>
      <c r="G169" s="4"/>
      <c r="H169" s="4"/>
      <c r="I169" s="4"/>
      <c r="J169" s="4"/>
      <c r="K169" s="4"/>
      <c r="L169" s="4"/>
      <c r="M169" s="16"/>
      <c r="N169" s="16"/>
      <c r="O169" s="2" t="str">
        <f ca="1">IF(C169="","",IF(OR(F169="Closed",F169=""),0,IF(N169&lt;&gt;"",MAX(0,N169-M169),MAX(0,TODAY()-IF(M169="",C169+IF(E169="Critical",Admin!$C$11,Admin!$C$10),M169)))))</f>
        <v/>
      </c>
      <c r="P169" s="2" t="str">
        <f t="shared" si="6"/>
        <v/>
      </c>
      <c r="Q169" s="2" t="str">
        <f t="shared" si="7"/>
        <v/>
      </c>
      <c r="R169" s="4"/>
      <c r="S169" s="4"/>
      <c r="T169" s="2" t="str">
        <f t="shared" si="8"/>
        <v/>
      </c>
    </row>
    <row r="170" spans="2:20" ht="14.4" x14ac:dyDescent="0.3">
      <c r="B170" s="4"/>
      <c r="C170" s="16"/>
      <c r="D170" s="4"/>
      <c r="E170" s="4"/>
      <c r="F170" s="4"/>
      <c r="G170" s="4"/>
      <c r="H170" s="4"/>
      <c r="I170" s="4"/>
      <c r="J170" s="4"/>
      <c r="K170" s="4"/>
      <c r="L170" s="4"/>
      <c r="M170" s="16"/>
      <c r="N170" s="16"/>
      <c r="O170" s="2" t="str">
        <f ca="1">IF(C170="","",IF(OR(F170="Closed",F170=""),0,IF(N170&lt;&gt;"",MAX(0,N170-M170),MAX(0,TODAY()-IF(M170="",C170+IF(E170="Critical",Admin!$C$11,Admin!$C$10),M170)))))</f>
        <v/>
      </c>
      <c r="P170" s="2" t="str">
        <f t="shared" si="6"/>
        <v/>
      </c>
      <c r="Q170" s="2" t="str">
        <f t="shared" si="7"/>
        <v/>
      </c>
      <c r="R170" s="4"/>
      <c r="S170" s="4"/>
      <c r="T170" s="2" t="str">
        <f t="shared" si="8"/>
        <v/>
      </c>
    </row>
    <row r="171" spans="2:20" ht="14.4" x14ac:dyDescent="0.3">
      <c r="B171" s="4"/>
      <c r="C171" s="16"/>
      <c r="D171" s="4"/>
      <c r="E171" s="4"/>
      <c r="F171" s="4"/>
      <c r="G171" s="4"/>
      <c r="H171" s="4"/>
      <c r="I171" s="4"/>
      <c r="J171" s="4"/>
      <c r="K171" s="4"/>
      <c r="L171" s="4"/>
      <c r="M171" s="16"/>
      <c r="N171" s="16"/>
      <c r="O171" s="2" t="str">
        <f ca="1">IF(C171="","",IF(OR(F171="Closed",F171=""),0,IF(N171&lt;&gt;"",MAX(0,N171-M171),MAX(0,TODAY()-IF(M171="",C171+IF(E171="Critical",Admin!$C$11,Admin!$C$10),M171)))))</f>
        <v/>
      </c>
      <c r="P171" s="2" t="str">
        <f t="shared" si="6"/>
        <v/>
      </c>
      <c r="Q171" s="2" t="str">
        <f t="shared" si="7"/>
        <v/>
      </c>
      <c r="R171" s="4"/>
      <c r="S171" s="4"/>
      <c r="T171" s="2" t="str">
        <f t="shared" si="8"/>
        <v/>
      </c>
    </row>
    <row r="172" spans="2:20" ht="14.4" x14ac:dyDescent="0.3">
      <c r="B172" s="4"/>
      <c r="C172" s="16"/>
      <c r="D172" s="4"/>
      <c r="E172" s="4"/>
      <c r="F172" s="4"/>
      <c r="G172" s="4"/>
      <c r="H172" s="4"/>
      <c r="I172" s="4"/>
      <c r="J172" s="4"/>
      <c r="K172" s="4"/>
      <c r="L172" s="4"/>
      <c r="M172" s="16"/>
      <c r="N172" s="16"/>
      <c r="O172" s="2" t="str">
        <f ca="1">IF(C172="","",IF(OR(F172="Closed",F172=""),0,IF(N172&lt;&gt;"",MAX(0,N172-M172),MAX(0,TODAY()-IF(M172="",C172+IF(E172="Critical",Admin!$C$11,Admin!$C$10),M172)))))</f>
        <v/>
      </c>
      <c r="P172" s="2" t="str">
        <f t="shared" si="6"/>
        <v/>
      </c>
      <c r="Q172" s="2" t="str">
        <f t="shared" si="7"/>
        <v/>
      </c>
      <c r="R172" s="4"/>
      <c r="S172" s="4"/>
      <c r="T172" s="2" t="str">
        <f t="shared" si="8"/>
        <v/>
      </c>
    </row>
    <row r="173" spans="2:20" ht="14.4" x14ac:dyDescent="0.3">
      <c r="B173" s="4"/>
      <c r="C173" s="16"/>
      <c r="D173" s="4"/>
      <c r="E173" s="4"/>
      <c r="F173" s="4"/>
      <c r="G173" s="4"/>
      <c r="H173" s="4"/>
      <c r="I173" s="4"/>
      <c r="J173" s="4"/>
      <c r="K173" s="4"/>
      <c r="L173" s="4"/>
      <c r="M173" s="16"/>
      <c r="N173" s="16"/>
      <c r="O173" s="2" t="str">
        <f ca="1">IF(C173="","",IF(OR(F173="Closed",F173=""),0,IF(N173&lt;&gt;"",MAX(0,N173-M173),MAX(0,TODAY()-IF(M173="",C173+IF(E173="Critical",Admin!$C$11,Admin!$C$10),M173)))))</f>
        <v/>
      </c>
      <c r="P173" s="2" t="str">
        <f t="shared" si="6"/>
        <v/>
      </c>
      <c r="Q173" s="2" t="str">
        <f t="shared" si="7"/>
        <v/>
      </c>
      <c r="R173" s="4"/>
      <c r="S173" s="4"/>
      <c r="T173" s="2" t="str">
        <f t="shared" si="8"/>
        <v/>
      </c>
    </row>
    <row r="174" spans="2:20" ht="14.4" x14ac:dyDescent="0.3">
      <c r="B174" s="4"/>
      <c r="C174" s="16"/>
      <c r="D174" s="4"/>
      <c r="E174" s="4"/>
      <c r="F174" s="4"/>
      <c r="G174" s="4"/>
      <c r="H174" s="4"/>
      <c r="I174" s="4"/>
      <c r="J174" s="4"/>
      <c r="K174" s="4"/>
      <c r="L174" s="4"/>
      <c r="M174" s="16"/>
      <c r="N174" s="16"/>
      <c r="O174" s="2" t="str">
        <f ca="1">IF(C174="","",IF(OR(F174="Closed",F174=""),0,IF(N174&lt;&gt;"",MAX(0,N174-M174),MAX(0,TODAY()-IF(M174="",C174+IF(E174="Critical",Admin!$C$11,Admin!$C$10),M174)))))</f>
        <v/>
      </c>
      <c r="P174" s="2" t="str">
        <f t="shared" si="6"/>
        <v/>
      </c>
      <c r="Q174" s="2" t="str">
        <f t="shared" si="7"/>
        <v/>
      </c>
      <c r="R174" s="4"/>
      <c r="S174" s="4"/>
      <c r="T174" s="2" t="str">
        <f t="shared" si="8"/>
        <v/>
      </c>
    </row>
    <row r="175" spans="2:20" ht="14.4" x14ac:dyDescent="0.3">
      <c r="B175" s="4"/>
      <c r="C175" s="16"/>
      <c r="D175" s="4"/>
      <c r="E175" s="4"/>
      <c r="F175" s="4"/>
      <c r="G175" s="4"/>
      <c r="H175" s="4"/>
      <c r="I175" s="4"/>
      <c r="J175" s="4"/>
      <c r="K175" s="4"/>
      <c r="L175" s="4"/>
      <c r="M175" s="16"/>
      <c r="N175" s="16"/>
      <c r="O175" s="2" t="str">
        <f ca="1">IF(C175="","",IF(OR(F175="Closed",F175=""),0,IF(N175&lt;&gt;"",MAX(0,N175-M175),MAX(0,TODAY()-IF(M175="",C175+IF(E175="Critical",Admin!$C$11,Admin!$C$10),M175)))))</f>
        <v/>
      </c>
      <c r="P175" s="2" t="str">
        <f t="shared" si="6"/>
        <v/>
      </c>
      <c r="Q175" s="2" t="str">
        <f t="shared" si="7"/>
        <v/>
      </c>
      <c r="R175" s="4"/>
      <c r="S175" s="4"/>
      <c r="T175" s="2" t="str">
        <f t="shared" si="8"/>
        <v/>
      </c>
    </row>
    <row r="176" spans="2:20" ht="14.4" x14ac:dyDescent="0.3">
      <c r="B176" s="4"/>
      <c r="C176" s="16"/>
      <c r="D176" s="4"/>
      <c r="E176" s="4"/>
      <c r="F176" s="4"/>
      <c r="G176" s="4"/>
      <c r="H176" s="4"/>
      <c r="I176" s="4"/>
      <c r="J176" s="4"/>
      <c r="K176" s="4"/>
      <c r="L176" s="4"/>
      <c r="M176" s="16"/>
      <c r="N176" s="16"/>
      <c r="O176" s="2" t="str">
        <f ca="1">IF(C176="","",IF(OR(F176="Closed",F176=""),0,IF(N176&lt;&gt;"",MAX(0,N176-M176),MAX(0,TODAY()-IF(M176="",C176+IF(E176="Critical",Admin!$C$11,Admin!$C$10),M176)))))</f>
        <v/>
      </c>
      <c r="P176" s="2" t="str">
        <f t="shared" si="6"/>
        <v/>
      </c>
      <c r="Q176" s="2" t="str">
        <f t="shared" si="7"/>
        <v/>
      </c>
      <c r="R176" s="4"/>
      <c r="S176" s="4"/>
      <c r="T176" s="2" t="str">
        <f t="shared" si="8"/>
        <v/>
      </c>
    </row>
    <row r="177" spans="2:20" ht="14.4" x14ac:dyDescent="0.3">
      <c r="B177" s="4"/>
      <c r="C177" s="16"/>
      <c r="D177" s="4"/>
      <c r="E177" s="4"/>
      <c r="F177" s="4"/>
      <c r="G177" s="4"/>
      <c r="H177" s="4"/>
      <c r="I177" s="4"/>
      <c r="J177" s="4"/>
      <c r="K177" s="4"/>
      <c r="L177" s="4"/>
      <c r="M177" s="16"/>
      <c r="N177" s="16"/>
      <c r="O177" s="2" t="str">
        <f ca="1">IF(C177="","",IF(OR(F177="Closed",F177=""),0,IF(N177&lt;&gt;"",MAX(0,N177-M177),MAX(0,TODAY()-IF(M177="",C177+IF(E177="Critical",Admin!$C$11,Admin!$C$10),M177)))))</f>
        <v/>
      </c>
      <c r="P177" s="2" t="str">
        <f t="shared" si="6"/>
        <v/>
      </c>
      <c r="Q177" s="2" t="str">
        <f t="shared" si="7"/>
        <v/>
      </c>
      <c r="R177" s="4"/>
      <c r="S177" s="4"/>
      <c r="T177" s="2" t="str">
        <f t="shared" si="8"/>
        <v/>
      </c>
    </row>
    <row r="178" spans="2:20" ht="14.4" x14ac:dyDescent="0.3">
      <c r="B178" s="4"/>
      <c r="C178" s="16"/>
      <c r="D178" s="4"/>
      <c r="E178" s="4"/>
      <c r="F178" s="4"/>
      <c r="G178" s="4"/>
      <c r="H178" s="4"/>
      <c r="I178" s="4"/>
      <c r="J178" s="4"/>
      <c r="K178" s="4"/>
      <c r="L178" s="4"/>
      <c r="M178" s="16"/>
      <c r="N178" s="16"/>
      <c r="O178" s="2" t="str">
        <f ca="1">IF(C178="","",IF(OR(F178="Closed",F178=""),0,IF(N178&lt;&gt;"",MAX(0,N178-M178),MAX(0,TODAY()-IF(M178="",C178+IF(E178="Critical",Admin!$C$11,Admin!$C$10),M178)))))</f>
        <v/>
      </c>
      <c r="P178" s="2" t="str">
        <f t="shared" si="6"/>
        <v/>
      </c>
      <c r="Q178" s="2" t="str">
        <f t="shared" si="7"/>
        <v/>
      </c>
      <c r="R178" s="4"/>
      <c r="S178" s="4"/>
      <c r="T178" s="2" t="str">
        <f t="shared" si="8"/>
        <v/>
      </c>
    </row>
    <row r="179" spans="2:20" ht="14.4" x14ac:dyDescent="0.3">
      <c r="B179" s="4"/>
      <c r="C179" s="16"/>
      <c r="D179" s="4"/>
      <c r="E179" s="4"/>
      <c r="F179" s="4"/>
      <c r="G179" s="4"/>
      <c r="H179" s="4"/>
      <c r="I179" s="4"/>
      <c r="J179" s="4"/>
      <c r="K179" s="4"/>
      <c r="L179" s="4"/>
      <c r="M179" s="16"/>
      <c r="N179" s="16"/>
      <c r="O179" s="2" t="str">
        <f ca="1">IF(C179="","",IF(OR(F179="Closed",F179=""),0,IF(N179&lt;&gt;"",MAX(0,N179-M179),MAX(0,TODAY()-IF(M179="",C179+IF(E179="Critical",Admin!$C$11,Admin!$C$10),M179)))))</f>
        <v/>
      </c>
      <c r="P179" s="2" t="str">
        <f t="shared" si="6"/>
        <v/>
      </c>
      <c r="Q179" s="2" t="str">
        <f t="shared" si="7"/>
        <v/>
      </c>
      <c r="R179" s="4"/>
      <c r="S179" s="4"/>
      <c r="T179" s="2" t="str">
        <f t="shared" si="8"/>
        <v/>
      </c>
    </row>
    <row r="180" spans="2:20" ht="14.4" x14ac:dyDescent="0.3">
      <c r="B180" s="4"/>
      <c r="C180" s="16"/>
      <c r="D180" s="4"/>
      <c r="E180" s="4"/>
      <c r="F180" s="4"/>
      <c r="G180" s="4"/>
      <c r="H180" s="4"/>
      <c r="I180" s="4"/>
      <c r="J180" s="4"/>
      <c r="K180" s="4"/>
      <c r="L180" s="4"/>
      <c r="M180" s="16"/>
      <c r="N180" s="16"/>
      <c r="O180" s="2" t="str">
        <f ca="1">IF(C180="","",IF(OR(F180="Closed",F180=""),0,IF(N180&lt;&gt;"",MAX(0,N180-M180),MAX(0,TODAY()-IF(M180="",C180+IF(E180="Critical",Admin!$C$11,Admin!$C$10),M180)))))</f>
        <v/>
      </c>
      <c r="P180" s="2" t="str">
        <f t="shared" si="6"/>
        <v/>
      </c>
      <c r="Q180" s="2" t="str">
        <f t="shared" si="7"/>
        <v/>
      </c>
      <c r="R180" s="4"/>
      <c r="S180" s="4"/>
      <c r="T180" s="2" t="str">
        <f t="shared" si="8"/>
        <v/>
      </c>
    </row>
    <row r="181" spans="2:20" ht="14.4" x14ac:dyDescent="0.3">
      <c r="B181" s="4"/>
      <c r="C181" s="16"/>
      <c r="D181" s="4"/>
      <c r="E181" s="4"/>
      <c r="F181" s="4"/>
      <c r="G181" s="4"/>
      <c r="H181" s="4"/>
      <c r="I181" s="4"/>
      <c r="J181" s="4"/>
      <c r="K181" s="4"/>
      <c r="L181" s="4"/>
      <c r="M181" s="16"/>
      <c r="N181" s="16"/>
      <c r="O181" s="2" t="str">
        <f ca="1">IF(C181="","",IF(OR(F181="Closed",F181=""),0,IF(N181&lt;&gt;"",MAX(0,N181-M181),MAX(0,TODAY()-IF(M181="",C181+IF(E181="Critical",Admin!$C$11,Admin!$C$10),M181)))))</f>
        <v/>
      </c>
      <c r="P181" s="2" t="str">
        <f t="shared" si="6"/>
        <v/>
      </c>
      <c r="Q181" s="2" t="str">
        <f t="shared" si="7"/>
        <v/>
      </c>
      <c r="R181" s="4"/>
      <c r="S181" s="4"/>
      <c r="T181" s="2" t="str">
        <f t="shared" si="8"/>
        <v/>
      </c>
    </row>
    <row r="182" spans="2:20" ht="14.4" x14ac:dyDescent="0.3">
      <c r="B182" s="4"/>
      <c r="C182" s="16"/>
      <c r="D182" s="4"/>
      <c r="E182" s="4"/>
      <c r="F182" s="4"/>
      <c r="G182" s="4"/>
      <c r="H182" s="4"/>
      <c r="I182" s="4"/>
      <c r="J182" s="4"/>
      <c r="K182" s="4"/>
      <c r="L182" s="4"/>
      <c r="M182" s="16"/>
      <c r="N182" s="16"/>
      <c r="O182" s="2" t="str">
        <f ca="1">IF(C182="","",IF(OR(F182="Closed",F182=""),0,IF(N182&lt;&gt;"",MAX(0,N182-M182),MAX(0,TODAY()-IF(M182="",C182+IF(E182="Critical",Admin!$C$11,Admin!$C$10),M182)))))</f>
        <v/>
      </c>
      <c r="P182" s="2" t="str">
        <f t="shared" si="6"/>
        <v/>
      </c>
      <c r="Q182" s="2" t="str">
        <f t="shared" si="7"/>
        <v/>
      </c>
      <c r="R182" s="4"/>
      <c r="S182" s="4"/>
      <c r="T182" s="2" t="str">
        <f t="shared" si="8"/>
        <v/>
      </c>
    </row>
    <row r="183" spans="2:20" ht="14.4" x14ac:dyDescent="0.3">
      <c r="B183" s="4"/>
      <c r="C183" s="16"/>
      <c r="D183" s="4"/>
      <c r="E183" s="4"/>
      <c r="F183" s="4"/>
      <c r="G183" s="4"/>
      <c r="H183" s="4"/>
      <c r="I183" s="4"/>
      <c r="J183" s="4"/>
      <c r="K183" s="4"/>
      <c r="L183" s="4"/>
      <c r="M183" s="16"/>
      <c r="N183" s="16"/>
      <c r="O183" s="2" t="str">
        <f ca="1">IF(C183="","",IF(OR(F183="Closed",F183=""),0,IF(N183&lt;&gt;"",MAX(0,N183-M183),MAX(0,TODAY()-IF(M183="",C183+IF(E183="Critical",Admin!$C$11,Admin!$C$10),M183)))))</f>
        <v/>
      </c>
      <c r="P183" s="2" t="str">
        <f t="shared" si="6"/>
        <v/>
      </c>
      <c r="Q183" s="2" t="str">
        <f t="shared" si="7"/>
        <v/>
      </c>
      <c r="R183" s="4"/>
      <c r="S183" s="4"/>
      <c r="T183" s="2" t="str">
        <f t="shared" si="8"/>
        <v/>
      </c>
    </row>
    <row r="184" spans="2:20" ht="14.4" x14ac:dyDescent="0.3">
      <c r="B184" s="4"/>
      <c r="C184" s="16"/>
      <c r="D184" s="4"/>
      <c r="E184" s="4"/>
      <c r="F184" s="4"/>
      <c r="G184" s="4"/>
      <c r="H184" s="4"/>
      <c r="I184" s="4"/>
      <c r="J184" s="4"/>
      <c r="K184" s="4"/>
      <c r="L184" s="4"/>
      <c r="M184" s="16"/>
      <c r="N184" s="16"/>
      <c r="O184" s="2" t="str">
        <f ca="1">IF(C184="","",IF(OR(F184="Closed",F184=""),0,IF(N184&lt;&gt;"",MAX(0,N184-M184),MAX(0,TODAY()-IF(M184="",C184+IF(E184="Critical",Admin!$C$11,Admin!$C$10),M184)))))</f>
        <v/>
      </c>
      <c r="P184" s="2" t="str">
        <f t="shared" si="6"/>
        <v/>
      </c>
      <c r="Q184" s="2" t="str">
        <f t="shared" si="7"/>
        <v/>
      </c>
      <c r="R184" s="4"/>
      <c r="S184" s="4"/>
      <c r="T184" s="2" t="str">
        <f t="shared" si="8"/>
        <v/>
      </c>
    </row>
    <row r="185" spans="2:20" ht="14.4" x14ac:dyDescent="0.3">
      <c r="B185" s="4"/>
      <c r="C185" s="16"/>
      <c r="D185" s="4"/>
      <c r="E185" s="4"/>
      <c r="F185" s="4"/>
      <c r="G185" s="4"/>
      <c r="H185" s="4"/>
      <c r="I185" s="4"/>
      <c r="J185" s="4"/>
      <c r="K185" s="4"/>
      <c r="L185" s="4"/>
      <c r="M185" s="16"/>
      <c r="N185" s="16"/>
      <c r="O185" s="2" t="str">
        <f ca="1">IF(C185="","",IF(OR(F185="Closed",F185=""),0,IF(N185&lt;&gt;"",MAX(0,N185-M185),MAX(0,TODAY()-IF(M185="",C185+IF(E185="Critical",Admin!$C$11,Admin!$C$10),M185)))))</f>
        <v/>
      </c>
      <c r="P185" s="2" t="str">
        <f t="shared" si="6"/>
        <v/>
      </c>
      <c r="Q185" s="2" t="str">
        <f t="shared" si="7"/>
        <v/>
      </c>
      <c r="R185" s="4"/>
      <c r="S185" s="4"/>
      <c r="T185" s="2" t="str">
        <f t="shared" si="8"/>
        <v/>
      </c>
    </row>
    <row r="186" spans="2:20" ht="14.4" x14ac:dyDescent="0.3">
      <c r="B186" s="4"/>
      <c r="C186" s="16"/>
      <c r="D186" s="4"/>
      <c r="E186" s="4"/>
      <c r="F186" s="4"/>
      <c r="G186" s="4"/>
      <c r="H186" s="4"/>
      <c r="I186" s="4"/>
      <c r="J186" s="4"/>
      <c r="K186" s="4"/>
      <c r="L186" s="4"/>
      <c r="M186" s="16"/>
      <c r="N186" s="16"/>
      <c r="O186" s="2" t="str">
        <f ca="1">IF(C186="","",IF(OR(F186="Closed",F186=""),0,IF(N186&lt;&gt;"",MAX(0,N186-M186),MAX(0,TODAY()-IF(M186="",C186+IF(E186="Critical",Admin!$C$11,Admin!$C$10),M186)))))</f>
        <v/>
      </c>
      <c r="P186" s="2" t="str">
        <f t="shared" si="6"/>
        <v/>
      </c>
      <c r="Q186" s="2" t="str">
        <f t="shared" si="7"/>
        <v/>
      </c>
      <c r="R186" s="4"/>
      <c r="S186" s="4"/>
      <c r="T186" s="2" t="str">
        <f t="shared" si="8"/>
        <v/>
      </c>
    </row>
    <row r="187" spans="2:20" ht="14.4" x14ac:dyDescent="0.3">
      <c r="B187" s="4"/>
      <c r="C187" s="16"/>
      <c r="D187" s="4"/>
      <c r="E187" s="4"/>
      <c r="F187" s="4"/>
      <c r="G187" s="4"/>
      <c r="H187" s="4"/>
      <c r="I187" s="4"/>
      <c r="J187" s="4"/>
      <c r="K187" s="4"/>
      <c r="L187" s="4"/>
      <c r="M187" s="16"/>
      <c r="N187" s="16"/>
      <c r="O187" s="2" t="str">
        <f ca="1">IF(C187="","",IF(OR(F187="Closed",F187=""),0,IF(N187&lt;&gt;"",MAX(0,N187-M187),MAX(0,TODAY()-IF(M187="",C187+IF(E187="Critical",Admin!$C$11,Admin!$C$10),M187)))))</f>
        <v/>
      </c>
      <c r="P187" s="2" t="str">
        <f t="shared" si="6"/>
        <v/>
      </c>
      <c r="Q187" s="2" t="str">
        <f t="shared" si="7"/>
        <v/>
      </c>
      <c r="R187" s="4"/>
      <c r="S187" s="4"/>
      <c r="T187" s="2" t="str">
        <f t="shared" si="8"/>
        <v/>
      </c>
    </row>
    <row r="188" spans="2:20" ht="14.4" x14ac:dyDescent="0.3">
      <c r="B188" s="4"/>
      <c r="C188" s="16"/>
      <c r="D188" s="4"/>
      <c r="E188" s="4"/>
      <c r="F188" s="4"/>
      <c r="G188" s="4"/>
      <c r="H188" s="4"/>
      <c r="I188" s="4"/>
      <c r="J188" s="4"/>
      <c r="K188" s="4"/>
      <c r="L188" s="4"/>
      <c r="M188" s="16"/>
      <c r="N188" s="16"/>
      <c r="O188" s="2" t="str">
        <f ca="1">IF(C188="","",IF(OR(F188="Closed",F188=""),0,IF(N188&lt;&gt;"",MAX(0,N188-M188),MAX(0,TODAY()-IF(M188="",C188+IF(E188="Critical",Admin!$C$11,Admin!$C$10),M188)))))</f>
        <v/>
      </c>
      <c r="P188" s="2" t="str">
        <f t="shared" si="6"/>
        <v/>
      </c>
      <c r="Q188" s="2" t="str">
        <f t="shared" si="7"/>
        <v/>
      </c>
      <c r="R188" s="4"/>
      <c r="S188" s="4"/>
      <c r="T188" s="2" t="str">
        <f t="shared" si="8"/>
        <v/>
      </c>
    </row>
    <row r="189" spans="2:20" ht="14.4" x14ac:dyDescent="0.3">
      <c r="B189" s="4"/>
      <c r="C189" s="16"/>
      <c r="D189" s="4"/>
      <c r="E189" s="4"/>
      <c r="F189" s="4"/>
      <c r="G189" s="4"/>
      <c r="H189" s="4"/>
      <c r="I189" s="4"/>
      <c r="J189" s="4"/>
      <c r="K189" s="4"/>
      <c r="L189" s="4"/>
      <c r="M189" s="16"/>
      <c r="N189" s="16"/>
      <c r="O189" s="2" t="str">
        <f ca="1">IF(C189="","",IF(OR(F189="Closed",F189=""),0,IF(N189&lt;&gt;"",MAX(0,N189-M189),MAX(0,TODAY()-IF(M189="",C189+IF(E189="Critical",Admin!$C$11,Admin!$C$10),M189)))))</f>
        <v/>
      </c>
      <c r="P189" s="2" t="str">
        <f t="shared" si="6"/>
        <v/>
      </c>
      <c r="Q189" s="2" t="str">
        <f t="shared" si="7"/>
        <v/>
      </c>
      <c r="R189" s="4"/>
      <c r="S189" s="4"/>
      <c r="T189" s="2" t="str">
        <f t="shared" si="8"/>
        <v/>
      </c>
    </row>
    <row r="190" spans="2:20" ht="14.4" x14ac:dyDescent="0.3">
      <c r="B190" s="4"/>
      <c r="C190" s="16"/>
      <c r="D190" s="4"/>
      <c r="E190" s="4"/>
      <c r="F190" s="4"/>
      <c r="G190" s="4"/>
      <c r="H190" s="4"/>
      <c r="I190" s="4"/>
      <c r="J190" s="4"/>
      <c r="K190" s="4"/>
      <c r="L190" s="4"/>
      <c r="M190" s="16"/>
      <c r="N190" s="16"/>
      <c r="O190" s="2" t="str">
        <f ca="1">IF(C190="","",IF(OR(F190="Closed",F190=""),0,IF(N190&lt;&gt;"",MAX(0,N190-M190),MAX(0,TODAY()-IF(M190="",C190+IF(E190="Critical",Admin!$C$11,Admin!$C$10),M190)))))</f>
        <v/>
      </c>
      <c r="P190" s="2" t="str">
        <f t="shared" si="6"/>
        <v/>
      </c>
      <c r="Q190" s="2" t="str">
        <f t="shared" si="7"/>
        <v/>
      </c>
      <c r="R190" s="4"/>
      <c r="S190" s="4"/>
      <c r="T190" s="2" t="str">
        <f t="shared" si="8"/>
        <v/>
      </c>
    </row>
    <row r="191" spans="2:20" ht="14.4" x14ac:dyDescent="0.3">
      <c r="B191" s="4"/>
      <c r="C191" s="16"/>
      <c r="D191" s="4"/>
      <c r="E191" s="4"/>
      <c r="F191" s="4"/>
      <c r="G191" s="4"/>
      <c r="H191" s="4"/>
      <c r="I191" s="4"/>
      <c r="J191" s="4"/>
      <c r="K191" s="4"/>
      <c r="L191" s="4"/>
      <c r="M191" s="16"/>
      <c r="N191" s="16"/>
      <c r="O191" s="2" t="str">
        <f ca="1">IF(C191="","",IF(OR(F191="Closed",F191=""),0,IF(N191&lt;&gt;"",MAX(0,N191-M191),MAX(0,TODAY()-IF(M191="",C191+IF(E191="Critical",Admin!$C$11,Admin!$C$10),M191)))))</f>
        <v/>
      </c>
      <c r="P191" s="2" t="str">
        <f t="shared" si="6"/>
        <v/>
      </c>
      <c r="Q191" s="2" t="str">
        <f t="shared" si="7"/>
        <v/>
      </c>
      <c r="R191" s="4"/>
      <c r="S191" s="4"/>
      <c r="T191" s="2" t="str">
        <f t="shared" si="8"/>
        <v/>
      </c>
    </row>
    <row r="192" spans="2:20" ht="14.4" x14ac:dyDescent="0.3">
      <c r="B192" s="4"/>
      <c r="C192" s="16"/>
      <c r="D192" s="4"/>
      <c r="E192" s="4"/>
      <c r="F192" s="4"/>
      <c r="G192" s="4"/>
      <c r="H192" s="4"/>
      <c r="I192" s="4"/>
      <c r="J192" s="4"/>
      <c r="K192" s="4"/>
      <c r="L192" s="4"/>
      <c r="M192" s="16"/>
      <c r="N192" s="16"/>
      <c r="O192" s="2" t="str">
        <f ca="1">IF(C192="","",IF(OR(F192="Closed",F192=""),0,IF(N192&lt;&gt;"",MAX(0,N192-M192),MAX(0,TODAY()-IF(M192="",C192+IF(E192="Critical",Admin!$C$11,Admin!$C$10),M192)))))</f>
        <v/>
      </c>
      <c r="P192" s="2" t="str">
        <f t="shared" si="6"/>
        <v/>
      </c>
      <c r="Q192" s="2" t="str">
        <f t="shared" si="7"/>
        <v/>
      </c>
      <c r="R192" s="4"/>
      <c r="S192" s="4"/>
      <c r="T192" s="2" t="str">
        <f t="shared" si="8"/>
        <v/>
      </c>
    </row>
    <row r="193" spans="2:20" ht="14.4" x14ac:dyDescent="0.3">
      <c r="B193" s="4"/>
      <c r="C193" s="16"/>
      <c r="D193" s="4"/>
      <c r="E193" s="4"/>
      <c r="F193" s="4"/>
      <c r="G193" s="4"/>
      <c r="H193" s="4"/>
      <c r="I193" s="4"/>
      <c r="J193" s="4"/>
      <c r="K193" s="4"/>
      <c r="L193" s="4"/>
      <c r="M193" s="16"/>
      <c r="N193" s="16"/>
      <c r="O193" s="2" t="str">
        <f ca="1">IF(C193="","",IF(OR(F193="Closed",F193=""),0,IF(N193&lt;&gt;"",MAX(0,N193-M193),MAX(0,TODAY()-IF(M193="",C193+IF(E193="Critical",Admin!$C$11,Admin!$C$10),M193)))))</f>
        <v/>
      </c>
      <c r="P193" s="2" t="str">
        <f t="shared" si="6"/>
        <v/>
      </c>
      <c r="Q193" s="2" t="str">
        <f t="shared" si="7"/>
        <v/>
      </c>
      <c r="R193" s="4"/>
      <c r="S193" s="4"/>
      <c r="T193" s="2" t="str">
        <f t="shared" si="8"/>
        <v/>
      </c>
    </row>
    <row r="194" spans="2:20" ht="14.4" x14ac:dyDescent="0.3">
      <c r="B194" s="4"/>
      <c r="C194" s="16"/>
      <c r="D194" s="4"/>
      <c r="E194" s="4"/>
      <c r="F194" s="4"/>
      <c r="G194" s="4"/>
      <c r="H194" s="4"/>
      <c r="I194" s="4"/>
      <c r="J194" s="4"/>
      <c r="K194" s="4"/>
      <c r="L194" s="4"/>
      <c r="M194" s="16"/>
      <c r="N194" s="16"/>
      <c r="O194" s="2" t="str">
        <f ca="1">IF(C194="","",IF(OR(F194="Closed",F194=""),0,IF(N194&lt;&gt;"",MAX(0,N194-M194),MAX(0,TODAY()-IF(M194="",C194+IF(E194="Critical",Admin!$C$11,Admin!$C$10),M194)))))</f>
        <v/>
      </c>
      <c r="P194" s="2" t="str">
        <f t="shared" si="6"/>
        <v/>
      </c>
      <c r="Q194" s="2" t="str">
        <f t="shared" si="7"/>
        <v/>
      </c>
      <c r="R194" s="4"/>
      <c r="S194" s="4"/>
      <c r="T194" s="2" t="str">
        <f t="shared" si="8"/>
        <v/>
      </c>
    </row>
    <row r="195" spans="2:20" ht="14.4" x14ac:dyDescent="0.3">
      <c r="B195" s="4"/>
      <c r="C195" s="16"/>
      <c r="D195" s="4"/>
      <c r="E195" s="4"/>
      <c r="F195" s="4"/>
      <c r="G195" s="4"/>
      <c r="H195" s="4"/>
      <c r="I195" s="4"/>
      <c r="J195" s="4"/>
      <c r="K195" s="4"/>
      <c r="L195" s="4"/>
      <c r="M195" s="16"/>
      <c r="N195" s="16"/>
      <c r="O195" s="2" t="str">
        <f ca="1">IF(C195="","",IF(OR(F195="Closed",F195=""),0,IF(N195&lt;&gt;"",MAX(0,N195-M195),MAX(0,TODAY()-IF(M195="",C195+IF(E195="Critical",Admin!$C$11,Admin!$C$10),M195)))))</f>
        <v/>
      </c>
      <c r="P195" s="2" t="str">
        <f t="shared" si="6"/>
        <v/>
      </c>
      <c r="Q195" s="2" t="str">
        <f t="shared" si="7"/>
        <v/>
      </c>
      <c r="R195" s="4"/>
      <c r="S195" s="4"/>
      <c r="T195" s="2" t="str">
        <f t="shared" si="8"/>
        <v/>
      </c>
    </row>
    <row r="196" spans="2:20" ht="14.4" x14ac:dyDescent="0.3">
      <c r="B196" s="4"/>
      <c r="C196" s="16"/>
      <c r="D196" s="4"/>
      <c r="E196" s="4"/>
      <c r="F196" s="4"/>
      <c r="G196" s="4"/>
      <c r="H196" s="4"/>
      <c r="I196" s="4"/>
      <c r="J196" s="4"/>
      <c r="K196" s="4"/>
      <c r="L196" s="4"/>
      <c r="M196" s="16"/>
      <c r="N196" s="16"/>
      <c r="O196" s="2" t="str">
        <f ca="1">IF(C196="","",IF(OR(F196="Closed",F196=""),0,IF(N196&lt;&gt;"",MAX(0,N196-M196),MAX(0,TODAY()-IF(M196="",C196+IF(E196="Critical",Admin!$C$11,Admin!$C$10),M196)))))</f>
        <v/>
      </c>
      <c r="P196" s="2" t="str">
        <f t="shared" si="6"/>
        <v/>
      </c>
      <c r="Q196" s="2" t="str">
        <f t="shared" si="7"/>
        <v/>
      </c>
      <c r="R196" s="4"/>
      <c r="S196" s="4"/>
      <c r="T196" s="2" t="str">
        <f t="shared" si="8"/>
        <v/>
      </c>
    </row>
    <row r="197" spans="2:20" ht="14.4" x14ac:dyDescent="0.3">
      <c r="B197" s="4"/>
      <c r="C197" s="16"/>
      <c r="D197" s="4"/>
      <c r="E197" s="4"/>
      <c r="F197" s="4"/>
      <c r="G197" s="4"/>
      <c r="H197" s="4"/>
      <c r="I197" s="4"/>
      <c r="J197" s="4"/>
      <c r="K197" s="4"/>
      <c r="L197" s="4"/>
      <c r="M197" s="16"/>
      <c r="N197" s="16"/>
      <c r="O197" s="2" t="str">
        <f ca="1">IF(C197="","",IF(OR(F197="Closed",F197=""),0,IF(N197&lt;&gt;"",MAX(0,N197-M197),MAX(0,TODAY()-IF(M197="",C197+IF(E197="Critical",Admin!$C$11,Admin!$C$10),M197)))))</f>
        <v/>
      </c>
      <c r="P197" s="2" t="str">
        <f t="shared" ref="P197:P249" si="9">IF(D197="","",COUNTIFS($D$5:$D$250,D197,$I$5:$I$250,I197,$G$5:$G$250,G197))</f>
        <v/>
      </c>
      <c r="Q197" s="2" t="str">
        <f t="shared" ref="Q197:Q249" si="10">IF(P197="","",IF(P197&gt;=3,"REPEAT ≥3",IF(P197=2,"REPEAT","Unique")))</f>
        <v/>
      </c>
      <c r="R197" s="4"/>
      <c r="S197" s="4"/>
      <c r="T197" s="2" t="str">
        <f t="shared" ref="T197:T249" si="11">IF(E197="","",IF(E197="Critical",25,IF(E197="High",16,IF(E197="Medium",9,4))))</f>
        <v/>
      </c>
    </row>
    <row r="198" spans="2:20" ht="14.4" x14ac:dyDescent="0.3">
      <c r="B198" s="4"/>
      <c r="C198" s="16"/>
      <c r="D198" s="4"/>
      <c r="E198" s="4"/>
      <c r="F198" s="4"/>
      <c r="G198" s="4"/>
      <c r="H198" s="4"/>
      <c r="I198" s="4"/>
      <c r="J198" s="4"/>
      <c r="K198" s="4"/>
      <c r="L198" s="4"/>
      <c r="M198" s="16"/>
      <c r="N198" s="16"/>
      <c r="O198" s="2" t="str">
        <f ca="1">IF(C198="","",IF(OR(F198="Closed",F198=""),0,IF(N198&lt;&gt;"",MAX(0,N198-M198),MAX(0,TODAY()-IF(M198="",C198+IF(E198="Critical",Admin!$C$11,Admin!$C$10),M198)))))</f>
        <v/>
      </c>
      <c r="P198" s="2" t="str">
        <f t="shared" si="9"/>
        <v/>
      </c>
      <c r="Q198" s="2" t="str">
        <f t="shared" si="10"/>
        <v/>
      </c>
      <c r="R198" s="4"/>
      <c r="S198" s="4"/>
      <c r="T198" s="2" t="str">
        <f t="shared" si="11"/>
        <v/>
      </c>
    </row>
    <row r="199" spans="2:20" ht="14.4" x14ac:dyDescent="0.3">
      <c r="B199" s="4"/>
      <c r="C199" s="16"/>
      <c r="D199" s="4"/>
      <c r="E199" s="4"/>
      <c r="F199" s="4"/>
      <c r="G199" s="4"/>
      <c r="H199" s="4"/>
      <c r="I199" s="4"/>
      <c r="J199" s="4"/>
      <c r="K199" s="4"/>
      <c r="L199" s="4"/>
      <c r="M199" s="16"/>
      <c r="N199" s="16"/>
      <c r="O199" s="2" t="str">
        <f ca="1">IF(C199="","",IF(OR(F199="Closed",F199=""),0,IF(N199&lt;&gt;"",MAX(0,N199-M199),MAX(0,TODAY()-IF(M199="",C199+IF(E199="Critical",Admin!$C$11,Admin!$C$10),M199)))))</f>
        <v/>
      </c>
      <c r="P199" s="2" t="str">
        <f t="shared" si="9"/>
        <v/>
      </c>
      <c r="Q199" s="2" t="str">
        <f t="shared" si="10"/>
        <v/>
      </c>
      <c r="R199" s="4"/>
      <c r="S199" s="4"/>
      <c r="T199" s="2" t="str">
        <f t="shared" si="11"/>
        <v/>
      </c>
    </row>
    <row r="200" spans="2:20" ht="14.4" x14ac:dyDescent="0.3">
      <c r="B200" s="4"/>
      <c r="C200" s="16"/>
      <c r="D200" s="4"/>
      <c r="E200" s="4"/>
      <c r="F200" s="4"/>
      <c r="G200" s="4"/>
      <c r="H200" s="4"/>
      <c r="I200" s="4"/>
      <c r="J200" s="4"/>
      <c r="K200" s="4"/>
      <c r="L200" s="4"/>
      <c r="M200" s="16"/>
      <c r="N200" s="16"/>
      <c r="O200" s="2" t="str">
        <f ca="1">IF(C200="","",IF(OR(F200="Closed",F200=""),0,IF(N200&lt;&gt;"",MAX(0,N200-M200),MAX(0,TODAY()-IF(M200="",C200+IF(E200="Critical",Admin!$C$11,Admin!$C$10),M200)))))</f>
        <v/>
      </c>
      <c r="P200" s="2" t="str">
        <f t="shared" si="9"/>
        <v/>
      </c>
      <c r="Q200" s="2" t="str">
        <f t="shared" si="10"/>
        <v/>
      </c>
      <c r="R200" s="4"/>
      <c r="S200" s="4"/>
      <c r="T200" s="2" t="str">
        <f t="shared" si="11"/>
        <v/>
      </c>
    </row>
    <row r="201" spans="2:20" ht="14.4" x14ac:dyDescent="0.3">
      <c r="B201" s="4"/>
      <c r="C201" s="16"/>
      <c r="D201" s="4"/>
      <c r="E201" s="4"/>
      <c r="F201" s="4"/>
      <c r="G201" s="4"/>
      <c r="H201" s="4"/>
      <c r="I201" s="4"/>
      <c r="J201" s="4"/>
      <c r="K201" s="4"/>
      <c r="L201" s="4"/>
      <c r="M201" s="16"/>
      <c r="N201" s="16"/>
      <c r="O201" s="2" t="str">
        <f ca="1">IF(C201="","",IF(OR(F201="Closed",F201=""),0,IF(N201&lt;&gt;"",MAX(0,N201-M201),MAX(0,TODAY()-IF(M201="",C201+IF(E201="Critical",Admin!$C$11,Admin!$C$10),M201)))))</f>
        <v/>
      </c>
      <c r="P201" s="2" t="str">
        <f t="shared" si="9"/>
        <v/>
      </c>
      <c r="Q201" s="2" t="str">
        <f t="shared" si="10"/>
        <v/>
      </c>
      <c r="R201" s="4"/>
      <c r="S201" s="4"/>
      <c r="T201" s="2" t="str">
        <f t="shared" si="11"/>
        <v/>
      </c>
    </row>
    <row r="202" spans="2:20" ht="14.4" x14ac:dyDescent="0.3">
      <c r="B202" s="4"/>
      <c r="C202" s="16"/>
      <c r="D202" s="4"/>
      <c r="E202" s="4"/>
      <c r="F202" s="4"/>
      <c r="G202" s="4"/>
      <c r="H202" s="4"/>
      <c r="I202" s="4"/>
      <c r="J202" s="4"/>
      <c r="K202" s="4"/>
      <c r="L202" s="4"/>
      <c r="M202" s="16"/>
      <c r="N202" s="16"/>
      <c r="O202" s="2" t="str">
        <f ca="1">IF(C202="","",IF(OR(F202="Closed",F202=""),0,IF(N202&lt;&gt;"",MAX(0,N202-M202),MAX(0,TODAY()-IF(M202="",C202+IF(E202="Critical",Admin!$C$11,Admin!$C$10),M202)))))</f>
        <v/>
      </c>
      <c r="P202" s="2" t="str">
        <f t="shared" si="9"/>
        <v/>
      </c>
      <c r="Q202" s="2" t="str">
        <f t="shared" si="10"/>
        <v/>
      </c>
      <c r="R202" s="4"/>
      <c r="S202" s="4"/>
      <c r="T202" s="2" t="str">
        <f t="shared" si="11"/>
        <v/>
      </c>
    </row>
    <row r="203" spans="2:20" ht="14.4" x14ac:dyDescent="0.3">
      <c r="B203" s="4"/>
      <c r="C203" s="16"/>
      <c r="D203" s="4"/>
      <c r="E203" s="4"/>
      <c r="F203" s="4"/>
      <c r="G203" s="4"/>
      <c r="H203" s="4"/>
      <c r="I203" s="4"/>
      <c r="J203" s="4"/>
      <c r="K203" s="4"/>
      <c r="L203" s="4"/>
      <c r="M203" s="16"/>
      <c r="N203" s="16"/>
      <c r="O203" s="2" t="str">
        <f ca="1">IF(C203="","",IF(OR(F203="Closed",F203=""),0,IF(N203&lt;&gt;"",MAX(0,N203-M203),MAX(0,TODAY()-IF(M203="",C203+IF(E203="Critical",Admin!$C$11,Admin!$C$10),M203)))))</f>
        <v/>
      </c>
      <c r="P203" s="2" t="str">
        <f t="shared" si="9"/>
        <v/>
      </c>
      <c r="Q203" s="2" t="str">
        <f t="shared" si="10"/>
        <v/>
      </c>
      <c r="R203" s="4"/>
      <c r="S203" s="4"/>
      <c r="T203" s="2" t="str">
        <f t="shared" si="11"/>
        <v/>
      </c>
    </row>
    <row r="204" spans="2:20" ht="14.4" x14ac:dyDescent="0.3">
      <c r="B204" s="4"/>
      <c r="C204" s="16"/>
      <c r="D204" s="4"/>
      <c r="E204" s="4"/>
      <c r="F204" s="4"/>
      <c r="G204" s="4"/>
      <c r="H204" s="4"/>
      <c r="I204" s="4"/>
      <c r="J204" s="4"/>
      <c r="K204" s="4"/>
      <c r="L204" s="4"/>
      <c r="M204" s="16"/>
      <c r="N204" s="16"/>
      <c r="O204" s="2" t="str">
        <f ca="1">IF(C204="","",IF(OR(F204="Closed",F204=""),0,IF(N204&lt;&gt;"",MAX(0,N204-M204),MAX(0,TODAY()-IF(M204="",C204+IF(E204="Critical",Admin!$C$11,Admin!$C$10),M204)))))</f>
        <v/>
      </c>
      <c r="P204" s="2" t="str">
        <f t="shared" si="9"/>
        <v/>
      </c>
      <c r="Q204" s="2" t="str">
        <f t="shared" si="10"/>
        <v/>
      </c>
      <c r="R204" s="4"/>
      <c r="S204" s="4"/>
      <c r="T204" s="2" t="str">
        <f t="shared" si="11"/>
        <v/>
      </c>
    </row>
    <row r="205" spans="2:20" ht="14.4" x14ac:dyDescent="0.3">
      <c r="B205" s="4"/>
      <c r="C205" s="16"/>
      <c r="D205" s="4"/>
      <c r="E205" s="4"/>
      <c r="F205" s="4"/>
      <c r="G205" s="4"/>
      <c r="H205" s="4"/>
      <c r="I205" s="4"/>
      <c r="J205" s="4"/>
      <c r="K205" s="4"/>
      <c r="L205" s="4"/>
      <c r="M205" s="16"/>
      <c r="N205" s="16"/>
      <c r="O205" s="2" t="str">
        <f ca="1">IF(C205="","",IF(OR(F205="Closed",F205=""),0,IF(N205&lt;&gt;"",MAX(0,N205-M205),MAX(0,TODAY()-IF(M205="",C205+IF(E205="Critical",Admin!$C$11,Admin!$C$10),M205)))))</f>
        <v/>
      </c>
      <c r="P205" s="2" t="str">
        <f t="shared" si="9"/>
        <v/>
      </c>
      <c r="Q205" s="2" t="str">
        <f t="shared" si="10"/>
        <v/>
      </c>
      <c r="R205" s="4"/>
      <c r="S205" s="4"/>
      <c r="T205" s="2" t="str">
        <f t="shared" si="11"/>
        <v/>
      </c>
    </row>
    <row r="206" spans="2:20" ht="14.4" x14ac:dyDescent="0.3">
      <c r="B206" s="4"/>
      <c r="C206" s="16"/>
      <c r="D206" s="4"/>
      <c r="E206" s="4"/>
      <c r="F206" s="4"/>
      <c r="G206" s="4"/>
      <c r="H206" s="4"/>
      <c r="I206" s="4"/>
      <c r="J206" s="4"/>
      <c r="K206" s="4"/>
      <c r="L206" s="4"/>
      <c r="M206" s="16"/>
      <c r="N206" s="16"/>
      <c r="O206" s="2" t="str">
        <f ca="1">IF(C206="","",IF(OR(F206="Closed",F206=""),0,IF(N206&lt;&gt;"",MAX(0,N206-M206),MAX(0,TODAY()-IF(M206="",C206+IF(E206="Critical",Admin!$C$11,Admin!$C$10),M206)))))</f>
        <v/>
      </c>
      <c r="P206" s="2" t="str">
        <f t="shared" si="9"/>
        <v/>
      </c>
      <c r="Q206" s="2" t="str">
        <f t="shared" si="10"/>
        <v/>
      </c>
      <c r="R206" s="4"/>
      <c r="S206" s="4"/>
      <c r="T206" s="2" t="str">
        <f t="shared" si="11"/>
        <v/>
      </c>
    </row>
    <row r="207" spans="2:20" ht="14.4" x14ac:dyDescent="0.3">
      <c r="B207" s="4"/>
      <c r="C207" s="16"/>
      <c r="D207" s="4"/>
      <c r="E207" s="4"/>
      <c r="F207" s="4"/>
      <c r="G207" s="4"/>
      <c r="H207" s="4"/>
      <c r="I207" s="4"/>
      <c r="J207" s="4"/>
      <c r="K207" s="4"/>
      <c r="L207" s="4"/>
      <c r="M207" s="16"/>
      <c r="N207" s="16"/>
      <c r="O207" s="2" t="str">
        <f ca="1">IF(C207="","",IF(OR(F207="Closed",F207=""),0,IF(N207&lt;&gt;"",MAX(0,N207-M207),MAX(0,TODAY()-IF(M207="",C207+IF(E207="Critical",Admin!$C$11,Admin!$C$10),M207)))))</f>
        <v/>
      </c>
      <c r="P207" s="2" t="str">
        <f t="shared" si="9"/>
        <v/>
      </c>
      <c r="Q207" s="2" t="str">
        <f t="shared" si="10"/>
        <v/>
      </c>
      <c r="R207" s="4"/>
      <c r="S207" s="4"/>
      <c r="T207" s="2" t="str">
        <f t="shared" si="11"/>
        <v/>
      </c>
    </row>
    <row r="208" spans="2:20" ht="14.4" x14ac:dyDescent="0.3">
      <c r="B208" s="4"/>
      <c r="C208" s="16"/>
      <c r="D208" s="4"/>
      <c r="E208" s="4"/>
      <c r="F208" s="4"/>
      <c r="G208" s="4"/>
      <c r="H208" s="4"/>
      <c r="I208" s="4"/>
      <c r="J208" s="4"/>
      <c r="K208" s="4"/>
      <c r="L208" s="4"/>
      <c r="M208" s="16"/>
      <c r="N208" s="16"/>
      <c r="O208" s="2" t="str">
        <f ca="1">IF(C208="","",IF(OR(F208="Closed",F208=""),0,IF(N208&lt;&gt;"",MAX(0,N208-M208),MAX(0,TODAY()-IF(M208="",C208+IF(E208="Critical",Admin!$C$11,Admin!$C$10),M208)))))</f>
        <v/>
      </c>
      <c r="P208" s="2" t="str">
        <f t="shared" si="9"/>
        <v/>
      </c>
      <c r="Q208" s="2" t="str">
        <f t="shared" si="10"/>
        <v/>
      </c>
      <c r="R208" s="4"/>
      <c r="S208" s="4"/>
      <c r="T208" s="2" t="str">
        <f t="shared" si="11"/>
        <v/>
      </c>
    </row>
    <row r="209" spans="2:20" ht="14.4" x14ac:dyDescent="0.3">
      <c r="B209" s="4"/>
      <c r="C209" s="16"/>
      <c r="D209" s="4"/>
      <c r="E209" s="4"/>
      <c r="F209" s="4"/>
      <c r="G209" s="4"/>
      <c r="H209" s="4"/>
      <c r="I209" s="4"/>
      <c r="J209" s="4"/>
      <c r="K209" s="4"/>
      <c r="L209" s="4"/>
      <c r="M209" s="16"/>
      <c r="N209" s="16"/>
      <c r="O209" s="2" t="str">
        <f ca="1">IF(C209="","",IF(OR(F209="Closed",F209=""),0,IF(N209&lt;&gt;"",MAX(0,N209-M209),MAX(0,TODAY()-IF(M209="",C209+IF(E209="Critical",Admin!$C$11,Admin!$C$10),M209)))))</f>
        <v/>
      </c>
      <c r="P209" s="2" t="str">
        <f t="shared" si="9"/>
        <v/>
      </c>
      <c r="Q209" s="2" t="str">
        <f t="shared" si="10"/>
        <v/>
      </c>
      <c r="R209" s="4"/>
      <c r="S209" s="4"/>
      <c r="T209" s="2" t="str">
        <f t="shared" si="11"/>
        <v/>
      </c>
    </row>
    <row r="210" spans="2:20" ht="14.4" x14ac:dyDescent="0.3">
      <c r="B210" s="4"/>
      <c r="C210" s="16"/>
      <c r="D210" s="4"/>
      <c r="E210" s="4"/>
      <c r="F210" s="4"/>
      <c r="G210" s="4"/>
      <c r="H210" s="4"/>
      <c r="I210" s="4"/>
      <c r="J210" s="4"/>
      <c r="K210" s="4"/>
      <c r="L210" s="4"/>
      <c r="M210" s="16"/>
      <c r="N210" s="16"/>
      <c r="O210" s="2" t="str">
        <f ca="1">IF(C210="","",IF(OR(F210="Closed",F210=""),0,IF(N210&lt;&gt;"",MAX(0,N210-M210),MAX(0,TODAY()-IF(M210="",C210+IF(E210="Critical",Admin!$C$11,Admin!$C$10),M210)))))</f>
        <v/>
      </c>
      <c r="P210" s="2" t="str">
        <f t="shared" si="9"/>
        <v/>
      </c>
      <c r="Q210" s="2" t="str">
        <f t="shared" si="10"/>
        <v/>
      </c>
      <c r="R210" s="4"/>
      <c r="S210" s="4"/>
      <c r="T210" s="2" t="str">
        <f t="shared" si="11"/>
        <v/>
      </c>
    </row>
    <row r="211" spans="2:20" ht="14.4" x14ac:dyDescent="0.3">
      <c r="B211" s="4"/>
      <c r="C211" s="16"/>
      <c r="D211" s="4"/>
      <c r="E211" s="4"/>
      <c r="F211" s="4"/>
      <c r="G211" s="4"/>
      <c r="H211" s="4"/>
      <c r="I211" s="4"/>
      <c r="J211" s="4"/>
      <c r="K211" s="4"/>
      <c r="L211" s="4"/>
      <c r="M211" s="16"/>
      <c r="N211" s="16"/>
      <c r="O211" s="2" t="str">
        <f ca="1">IF(C211="","",IF(OR(F211="Closed",F211=""),0,IF(N211&lt;&gt;"",MAX(0,N211-M211),MAX(0,TODAY()-IF(M211="",C211+IF(E211="Critical",Admin!$C$11,Admin!$C$10),M211)))))</f>
        <v/>
      </c>
      <c r="P211" s="2" t="str">
        <f t="shared" si="9"/>
        <v/>
      </c>
      <c r="Q211" s="2" t="str">
        <f t="shared" si="10"/>
        <v/>
      </c>
      <c r="R211" s="4"/>
      <c r="S211" s="4"/>
      <c r="T211" s="2" t="str">
        <f t="shared" si="11"/>
        <v/>
      </c>
    </row>
    <row r="212" spans="2:20" ht="14.4" x14ac:dyDescent="0.3">
      <c r="B212" s="4"/>
      <c r="C212" s="16"/>
      <c r="D212" s="4"/>
      <c r="E212" s="4"/>
      <c r="F212" s="4"/>
      <c r="G212" s="4"/>
      <c r="H212" s="4"/>
      <c r="I212" s="4"/>
      <c r="J212" s="4"/>
      <c r="K212" s="4"/>
      <c r="L212" s="4"/>
      <c r="M212" s="16"/>
      <c r="N212" s="16"/>
      <c r="O212" s="2" t="str">
        <f ca="1">IF(C212="","",IF(OR(F212="Closed",F212=""),0,IF(N212&lt;&gt;"",MAX(0,N212-M212),MAX(0,TODAY()-IF(M212="",C212+IF(E212="Critical",Admin!$C$11,Admin!$C$10),M212)))))</f>
        <v/>
      </c>
      <c r="P212" s="2" t="str">
        <f t="shared" si="9"/>
        <v/>
      </c>
      <c r="Q212" s="2" t="str">
        <f t="shared" si="10"/>
        <v/>
      </c>
      <c r="R212" s="4"/>
      <c r="S212" s="4"/>
      <c r="T212" s="2" t="str">
        <f t="shared" si="11"/>
        <v/>
      </c>
    </row>
    <row r="213" spans="2:20" ht="14.4" x14ac:dyDescent="0.3">
      <c r="B213" s="4"/>
      <c r="C213" s="16"/>
      <c r="D213" s="4"/>
      <c r="E213" s="4"/>
      <c r="F213" s="4"/>
      <c r="G213" s="4"/>
      <c r="H213" s="4"/>
      <c r="I213" s="4"/>
      <c r="J213" s="4"/>
      <c r="K213" s="4"/>
      <c r="L213" s="4"/>
      <c r="M213" s="16"/>
      <c r="N213" s="16"/>
      <c r="O213" s="2" t="str">
        <f ca="1">IF(C213="","",IF(OR(F213="Closed",F213=""),0,IF(N213&lt;&gt;"",MAX(0,N213-M213),MAX(0,TODAY()-IF(M213="",C213+IF(E213="Critical",Admin!$C$11,Admin!$C$10),M213)))))</f>
        <v/>
      </c>
      <c r="P213" s="2" t="str">
        <f t="shared" si="9"/>
        <v/>
      </c>
      <c r="Q213" s="2" t="str">
        <f t="shared" si="10"/>
        <v/>
      </c>
      <c r="R213" s="4"/>
      <c r="S213" s="4"/>
      <c r="T213" s="2" t="str">
        <f t="shared" si="11"/>
        <v/>
      </c>
    </row>
    <row r="214" spans="2:20" ht="14.4" x14ac:dyDescent="0.3">
      <c r="B214" s="4"/>
      <c r="C214" s="16"/>
      <c r="D214" s="4"/>
      <c r="E214" s="4"/>
      <c r="F214" s="4"/>
      <c r="G214" s="4"/>
      <c r="H214" s="4"/>
      <c r="I214" s="4"/>
      <c r="J214" s="4"/>
      <c r="K214" s="4"/>
      <c r="L214" s="4"/>
      <c r="M214" s="16"/>
      <c r="N214" s="16"/>
      <c r="O214" s="2" t="str">
        <f ca="1">IF(C214="","",IF(OR(F214="Closed",F214=""),0,IF(N214&lt;&gt;"",MAX(0,N214-M214),MAX(0,TODAY()-IF(M214="",C214+IF(E214="Critical",Admin!$C$11,Admin!$C$10),M214)))))</f>
        <v/>
      </c>
      <c r="P214" s="2" t="str">
        <f t="shared" si="9"/>
        <v/>
      </c>
      <c r="Q214" s="2" t="str">
        <f t="shared" si="10"/>
        <v/>
      </c>
      <c r="R214" s="4"/>
      <c r="S214" s="4"/>
      <c r="T214" s="2" t="str">
        <f t="shared" si="11"/>
        <v/>
      </c>
    </row>
    <row r="215" spans="2:20" ht="14.4" x14ac:dyDescent="0.3">
      <c r="B215" s="4"/>
      <c r="C215" s="16"/>
      <c r="D215" s="4"/>
      <c r="E215" s="4"/>
      <c r="F215" s="4"/>
      <c r="G215" s="4"/>
      <c r="H215" s="4"/>
      <c r="I215" s="4"/>
      <c r="J215" s="4"/>
      <c r="K215" s="4"/>
      <c r="L215" s="4"/>
      <c r="M215" s="16"/>
      <c r="N215" s="16"/>
      <c r="O215" s="2" t="str">
        <f ca="1">IF(C215="","",IF(OR(F215="Closed",F215=""),0,IF(N215&lt;&gt;"",MAX(0,N215-M215),MAX(0,TODAY()-IF(M215="",C215+IF(E215="Critical",Admin!$C$11,Admin!$C$10),M215)))))</f>
        <v/>
      </c>
      <c r="P215" s="2" t="str">
        <f t="shared" si="9"/>
        <v/>
      </c>
      <c r="Q215" s="2" t="str">
        <f t="shared" si="10"/>
        <v/>
      </c>
      <c r="R215" s="4"/>
      <c r="S215" s="4"/>
      <c r="T215" s="2" t="str">
        <f t="shared" si="11"/>
        <v/>
      </c>
    </row>
    <row r="216" spans="2:20" ht="14.4" x14ac:dyDescent="0.3">
      <c r="B216" s="4"/>
      <c r="C216" s="16"/>
      <c r="D216" s="4"/>
      <c r="E216" s="4"/>
      <c r="F216" s="4"/>
      <c r="G216" s="4"/>
      <c r="H216" s="4"/>
      <c r="I216" s="4"/>
      <c r="J216" s="4"/>
      <c r="K216" s="4"/>
      <c r="L216" s="4"/>
      <c r="M216" s="16"/>
      <c r="N216" s="16"/>
      <c r="O216" s="2" t="str">
        <f ca="1">IF(C216="","",IF(OR(F216="Closed",F216=""),0,IF(N216&lt;&gt;"",MAX(0,N216-M216),MAX(0,TODAY()-IF(M216="",C216+IF(E216="Critical",Admin!$C$11,Admin!$C$10),M216)))))</f>
        <v/>
      </c>
      <c r="P216" s="2" t="str">
        <f t="shared" si="9"/>
        <v/>
      </c>
      <c r="Q216" s="2" t="str">
        <f t="shared" si="10"/>
        <v/>
      </c>
      <c r="R216" s="4"/>
      <c r="S216" s="4"/>
      <c r="T216" s="2" t="str">
        <f t="shared" si="11"/>
        <v/>
      </c>
    </row>
    <row r="217" spans="2:20" ht="14.4" x14ac:dyDescent="0.3">
      <c r="B217" s="4"/>
      <c r="C217" s="16"/>
      <c r="D217" s="4"/>
      <c r="E217" s="4"/>
      <c r="F217" s="4"/>
      <c r="G217" s="4"/>
      <c r="H217" s="4"/>
      <c r="I217" s="4"/>
      <c r="J217" s="4"/>
      <c r="K217" s="4"/>
      <c r="L217" s="4"/>
      <c r="M217" s="16"/>
      <c r="N217" s="16"/>
      <c r="O217" s="2" t="str">
        <f ca="1">IF(C217="","",IF(OR(F217="Closed",F217=""),0,IF(N217&lt;&gt;"",MAX(0,N217-M217),MAX(0,TODAY()-IF(M217="",C217+IF(E217="Critical",Admin!$C$11,Admin!$C$10),M217)))))</f>
        <v/>
      </c>
      <c r="P217" s="2" t="str">
        <f t="shared" si="9"/>
        <v/>
      </c>
      <c r="Q217" s="2" t="str">
        <f t="shared" si="10"/>
        <v/>
      </c>
      <c r="R217" s="4"/>
      <c r="S217" s="4"/>
      <c r="T217" s="2" t="str">
        <f t="shared" si="11"/>
        <v/>
      </c>
    </row>
    <row r="218" spans="2:20" ht="14.4" x14ac:dyDescent="0.3">
      <c r="B218" s="4"/>
      <c r="C218" s="16"/>
      <c r="D218" s="4"/>
      <c r="E218" s="4"/>
      <c r="F218" s="4"/>
      <c r="G218" s="4"/>
      <c r="H218" s="4"/>
      <c r="I218" s="4"/>
      <c r="J218" s="4"/>
      <c r="K218" s="4"/>
      <c r="L218" s="4"/>
      <c r="M218" s="16"/>
      <c r="N218" s="16"/>
      <c r="O218" s="2" t="str">
        <f ca="1">IF(C218="","",IF(OR(F218="Closed",F218=""),0,IF(N218&lt;&gt;"",MAX(0,N218-M218),MAX(0,TODAY()-IF(M218="",C218+IF(E218="Critical",Admin!$C$11,Admin!$C$10),M218)))))</f>
        <v/>
      </c>
      <c r="P218" s="2" t="str">
        <f t="shared" si="9"/>
        <v/>
      </c>
      <c r="Q218" s="2" t="str">
        <f t="shared" si="10"/>
        <v/>
      </c>
      <c r="R218" s="4"/>
      <c r="S218" s="4"/>
      <c r="T218" s="2" t="str">
        <f t="shared" si="11"/>
        <v/>
      </c>
    </row>
    <row r="219" spans="2:20" ht="14.4" x14ac:dyDescent="0.3">
      <c r="B219" s="4"/>
      <c r="C219" s="16"/>
      <c r="D219" s="4"/>
      <c r="E219" s="4"/>
      <c r="F219" s="4"/>
      <c r="G219" s="4"/>
      <c r="H219" s="4"/>
      <c r="I219" s="4"/>
      <c r="J219" s="4"/>
      <c r="K219" s="4"/>
      <c r="L219" s="4"/>
      <c r="M219" s="16"/>
      <c r="N219" s="16"/>
      <c r="O219" s="2" t="str">
        <f ca="1">IF(C219="","",IF(OR(F219="Closed",F219=""),0,IF(N219&lt;&gt;"",MAX(0,N219-M219),MAX(0,TODAY()-IF(M219="",C219+IF(E219="Critical",Admin!$C$11,Admin!$C$10),M219)))))</f>
        <v/>
      </c>
      <c r="P219" s="2" t="str">
        <f t="shared" si="9"/>
        <v/>
      </c>
      <c r="Q219" s="2" t="str">
        <f t="shared" si="10"/>
        <v/>
      </c>
      <c r="R219" s="4"/>
      <c r="S219" s="4"/>
      <c r="T219" s="2" t="str">
        <f t="shared" si="11"/>
        <v/>
      </c>
    </row>
    <row r="220" spans="2:20" ht="14.4" x14ac:dyDescent="0.3">
      <c r="B220" s="4"/>
      <c r="C220" s="16"/>
      <c r="D220" s="4"/>
      <c r="E220" s="4"/>
      <c r="F220" s="4"/>
      <c r="G220" s="4"/>
      <c r="H220" s="4"/>
      <c r="I220" s="4"/>
      <c r="J220" s="4"/>
      <c r="K220" s="4"/>
      <c r="L220" s="4"/>
      <c r="M220" s="16"/>
      <c r="N220" s="16"/>
      <c r="O220" s="2" t="str">
        <f ca="1">IF(C220="","",IF(OR(F220="Closed",F220=""),0,IF(N220&lt;&gt;"",MAX(0,N220-M220),MAX(0,TODAY()-IF(M220="",C220+IF(E220="Critical",Admin!$C$11,Admin!$C$10),M220)))))</f>
        <v/>
      </c>
      <c r="P220" s="2" t="str">
        <f t="shared" si="9"/>
        <v/>
      </c>
      <c r="Q220" s="2" t="str">
        <f t="shared" si="10"/>
        <v/>
      </c>
      <c r="R220" s="4"/>
      <c r="S220" s="4"/>
      <c r="T220" s="2" t="str">
        <f t="shared" si="11"/>
        <v/>
      </c>
    </row>
    <row r="221" spans="2:20" ht="14.4" x14ac:dyDescent="0.3">
      <c r="B221" s="4"/>
      <c r="C221" s="16"/>
      <c r="D221" s="4"/>
      <c r="E221" s="4"/>
      <c r="F221" s="4"/>
      <c r="G221" s="4"/>
      <c r="H221" s="4"/>
      <c r="I221" s="4"/>
      <c r="J221" s="4"/>
      <c r="K221" s="4"/>
      <c r="L221" s="4"/>
      <c r="M221" s="16"/>
      <c r="N221" s="16"/>
      <c r="O221" s="2" t="str">
        <f ca="1">IF(C221="","",IF(OR(F221="Closed",F221=""),0,IF(N221&lt;&gt;"",MAX(0,N221-M221),MAX(0,TODAY()-IF(M221="",C221+IF(E221="Critical",Admin!$C$11,Admin!$C$10),M221)))))</f>
        <v/>
      </c>
      <c r="P221" s="2" t="str">
        <f t="shared" si="9"/>
        <v/>
      </c>
      <c r="Q221" s="2" t="str">
        <f t="shared" si="10"/>
        <v/>
      </c>
      <c r="R221" s="4"/>
      <c r="S221" s="4"/>
      <c r="T221" s="2" t="str">
        <f t="shared" si="11"/>
        <v/>
      </c>
    </row>
    <row r="222" spans="2:20" ht="14.4" x14ac:dyDescent="0.3">
      <c r="B222" s="4"/>
      <c r="C222" s="16"/>
      <c r="D222" s="4"/>
      <c r="E222" s="4"/>
      <c r="F222" s="4"/>
      <c r="G222" s="4"/>
      <c r="H222" s="4"/>
      <c r="I222" s="4"/>
      <c r="J222" s="4"/>
      <c r="K222" s="4"/>
      <c r="L222" s="4"/>
      <c r="M222" s="16"/>
      <c r="N222" s="16"/>
      <c r="O222" s="2" t="str">
        <f ca="1">IF(C222="","",IF(OR(F222="Closed",F222=""),0,IF(N222&lt;&gt;"",MAX(0,N222-M222),MAX(0,TODAY()-IF(M222="",C222+IF(E222="Critical",Admin!$C$11,Admin!$C$10),M222)))))</f>
        <v/>
      </c>
      <c r="P222" s="2" t="str">
        <f t="shared" si="9"/>
        <v/>
      </c>
      <c r="Q222" s="2" t="str">
        <f t="shared" si="10"/>
        <v/>
      </c>
      <c r="R222" s="4"/>
      <c r="S222" s="4"/>
      <c r="T222" s="2" t="str">
        <f t="shared" si="11"/>
        <v/>
      </c>
    </row>
    <row r="223" spans="2:20" ht="14.4" x14ac:dyDescent="0.3">
      <c r="B223" s="4"/>
      <c r="C223" s="16"/>
      <c r="D223" s="4"/>
      <c r="E223" s="4"/>
      <c r="F223" s="4"/>
      <c r="G223" s="4"/>
      <c r="H223" s="4"/>
      <c r="I223" s="4"/>
      <c r="J223" s="4"/>
      <c r="K223" s="4"/>
      <c r="L223" s="4"/>
      <c r="M223" s="16"/>
      <c r="N223" s="16"/>
      <c r="O223" s="2" t="str">
        <f ca="1">IF(C223="","",IF(OR(F223="Closed",F223=""),0,IF(N223&lt;&gt;"",MAX(0,N223-M223),MAX(0,TODAY()-IF(M223="",C223+IF(E223="Critical",Admin!$C$11,Admin!$C$10),M223)))))</f>
        <v/>
      </c>
      <c r="P223" s="2" t="str">
        <f t="shared" si="9"/>
        <v/>
      </c>
      <c r="Q223" s="2" t="str">
        <f t="shared" si="10"/>
        <v/>
      </c>
      <c r="R223" s="4"/>
      <c r="S223" s="4"/>
      <c r="T223" s="2" t="str">
        <f t="shared" si="11"/>
        <v/>
      </c>
    </row>
    <row r="224" spans="2:20" ht="14.4" x14ac:dyDescent="0.3">
      <c r="B224" s="4"/>
      <c r="C224" s="16"/>
      <c r="D224" s="4"/>
      <c r="E224" s="4"/>
      <c r="F224" s="4"/>
      <c r="G224" s="4"/>
      <c r="H224" s="4"/>
      <c r="I224" s="4"/>
      <c r="J224" s="4"/>
      <c r="K224" s="4"/>
      <c r="L224" s="4"/>
      <c r="M224" s="16"/>
      <c r="N224" s="16"/>
      <c r="O224" s="2" t="str">
        <f ca="1">IF(C224="","",IF(OR(F224="Closed",F224=""),0,IF(N224&lt;&gt;"",MAX(0,N224-M224),MAX(0,TODAY()-IF(M224="",C224+IF(E224="Critical",Admin!$C$11,Admin!$C$10),M224)))))</f>
        <v/>
      </c>
      <c r="P224" s="2" t="str">
        <f t="shared" si="9"/>
        <v/>
      </c>
      <c r="Q224" s="2" t="str">
        <f t="shared" si="10"/>
        <v/>
      </c>
      <c r="R224" s="4"/>
      <c r="S224" s="4"/>
      <c r="T224" s="2" t="str">
        <f t="shared" si="11"/>
        <v/>
      </c>
    </row>
    <row r="225" spans="2:20" ht="14.4" x14ac:dyDescent="0.3">
      <c r="B225" s="4"/>
      <c r="C225" s="16"/>
      <c r="D225" s="4"/>
      <c r="E225" s="4"/>
      <c r="F225" s="4"/>
      <c r="G225" s="4"/>
      <c r="H225" s="4"/>
      <c r="I225" s="4"/>
      <c r="J225" s="4"/>
      <c r="K225" s="4"/>
      <c r="L225" s="4"/>
      <c r="M225" s="16"/>
      <c r="N225" s="16"/>
      <c r="O225" s="2" t="str">
        <f ca="1">IF(C225="","",IF(OR(F225="Closed",F225=""),0,IF(N225&lt;&gt;"",MAX(0,N225-M225),MAX(0,TODAY()-IF(M225="",C225+IF(E225="Critical",Admin!$C$11,Admin!$C$10),M225)))))</f>
        <v/>
      </c>
      <c r="P225" s="2" t="str">
        <f t="shared" si="9"/>
        <v/>
      </c>
      <c r="Q225" s="2" t="str">
        <f t="shared" si="10"/>
        <v/>
      </c>
      <c r="R225" s="4"/>
      <c r="S225" s="4"/>
      <c r="T225" s="2" t="str">
        <f t="shared" si="11"/>
        <v/>
      </c>
    </row>
    <row r="226" spans="2:20" ht="14.4" x14ac:dyDescent="0.3">
      <c r="B226" s="4"/>
      <c r="C226" s="16"/>
      <c r="D226" s="4"/>
      <c r="E226" s="4"/>
      <c r="F226" s="4"/>
      <c r="G226" s="4"/>
      <c r="H226" s="4"/>
      <c r="I226" s="4"/>
      <c r="J226" s="4"/>
      <c r="K226" s="4"/>
      <c r="L226" s="4"/>
      <c r="M226" s="16"/>
      <c r="N226" s="16"/>
      <c r="O226" s="2" t="str">
        <f ca="1">IF(C226="","",IF(OR(F226="Closed",F226=""),0,IF(N226&lt;&gt;"",MAX(0,N226-M226),MAX(0,TODAY()-IF(M226="",C226+IF(E226="Critical",Admin!$C$11,Admin!$C$10),M226)))))</f>
        <v/>
      </c>
      <c r="P226" s="2" t="str">
        <f t="shared" si="9"/>
        <v/>
      </c>
      <c r="Q226" s="2" t="str">
        <f t="shared" si="10"/>
        <v/>
      </c>
      <c r="R226" s="4"/>
      <c r="S226" s="4"/>
      <c r="T226" s="2" t="str">
        <f t="shared" si="11"/>
        <v/>
      </c>
    </row>
    <row r="227" spans="2:20" ht="14.4" x14ac:dyDescent="0.3">
      <c r="B227" s="4"/>
      <c r="C227" s="16"/>
      <c r="D227" s="4"/>
      <c r="E227" s="4"/>
      <c r="F227" s="4"/>
      <c r="G227" s="4"/>
      <c r="H227" s="4"/>
      <c r="I227" s="4"/>
      <c r="J227" s="4"/>
      <c r="K227" s="4"/>
      <c r="L227" s="4"/>
      <c r="M227" s="16"/>
      <c r="N227" s="16"/>
      <c r="O227" s="2" t="str">
        <f ca="1">IF(C227="","",IF(OR(F227="Closed",F227=""),0,IF(N227&lt;&gt;"",MAX(0,N227-M227),MAX(0,TODAY()-IF(M227="",C227+IF(E227="Critical",Admin!$C$11,Admin!$C$10),M227)))))</f>
        <v/>
      </c>
      <c r="P227" s="2" t="str">
        <f t="shared" si="9"/>
        <v/>
      </c>
      <c r="Q227" s="2" t="str">
        <f t="shared" si="10"/>
        <v/>
      </c>
      <c r="R227" s="4"/>
      <c r="S227" s="4"/>
      <c r="T227" s="2" t="str">
        <f t="shared" si="11"/>
        <v/>
      </c>
    </row>
    <row r="228" spans="2:20" ht="14.4" x14ac:dyDescent="0.3">
      <c r="B228" s="4"/>
      <c r="C228" s="16"/>
      <c r="D228" s="4"/>
      <c r="E228" s="4"/>
      <c r="F228" s="4"/>
      <c r="G228" s="4"/>
      <c r="H228" s="4"/>
      <c r="I228" s="4"/>
      <c r="J228" s="4"/>
      <c r="K228" s="4"/>
      <c r="L228" s="4"/>
      <c r="M228" s="16"/>
      <c r="N228" s="16"/>
      <c r="O228" s="2" t="str">
        <f ca="1">IF(C228="","",IF(OR(F228="Closed",F228=""),0,IF(N228&lt;&gt;"",MAX(0,N228-M228),MAX(0,TODAY()-IF(M228="",C228+IF(E228="Critical",Admin!$C$11,Admin!$C$10),M228)))))</f>
        <v/>
      </c>
      <c r="P228" s="2" t="str">
        <f t="shared" si="9"/>
        <v/>
      </c>
      <c r="Q228" s="2" t="str">
        <f t="shared" si="10"/>
        <v/>
      </c>
      <c r="R228" s="4"/>
      <c r="S228" s="4"/>
      <c r="T228" s="2" t="str">
        <f t="shared" si="11"/>
        <v/>
      </c>
    </row>
    <row r="229" spans="2:20" ht="14.4" x14ac:dyDescent="0.3">
      <c r="B229" s="4"/>
      <c r="C229" s="16"/>
      <c r="D229" s="4"/>
      <c r="E229" s="4"/>
      <c r="F229" s="4"/>
      <c r="G229" s="4"/>
      <c r="H229" s="4"/>
      <c r="I229" s="4"/>
      <c r="J229" s="4"/>
      <c r="K229" s="4"/>
      <c r="L229" s="4"/>
      <c r="M229" s="16"/>
      <c r="N229" s="16"/>
      <c r="O229" s="2" t="str">
        <f ca="1">IF(C229="","",IF(OR(F229="Closed",F229=""),0,IF(N229&lt;&gt;"",MAX(0,N229-M229),MAX(0,TODAY()-IF(M229="",C229+IF(E229="Critical",Admin!$C$11,Admin!$C$10),M229)))))</f>
        <v/>
      </c>
      <c r="P229" s="2" t="str">
        <f t="shared" si="9"/>
        <v/>
      </c>
      <c r="Q229" s="2" t="str">
        <f t="shared" si="10"/>
        <v/>
      </c>
      <c r="R229" s="4"/>
      <c r="S229" s="4"/>
      <c r="T229" s="2" t="str">
        <f t="shared" si="11"/>
        <v/>
      </c>
    </row>
    <row r="230" spans="2:20" ht="14.4" x14ac:dyDescent="0.3">
      <c r="B230" s="4"/>
      <c r="C230" s="16"/>
      <c r="D230" s="4"/>
      <c r="E230" s="4"/>
      <c r="F230" s="4"/>
      <c r="G230" s="4"/>
      <c r="H230" s="4"/>
      <c r="I230" s="4"/>
      <c r="J230" s="4"/>
      <c r="K230" s="4"/>
      <c r="L230" s="4"/>
      <c r="M230" s="16"/>
      <c r="N230" s="16"/>
      <c r="O230" s="2" t="str">
        <f ca="1">IF(C230="","",IF(OR(F230="Closed",F230=""),0,IF(N230&lt;&gt;"",MAX(0,N230-M230),MAX(0,TODAY()-IF(M230="",C230+IF(E230="Critical",Admin!$C$11,Admin!$C$10),M230)))))</f>
        <v/>
      </c>
      <c r="P230" s="2" t="str">
        <f t="shared" si="9"/>
        <v/>
      </c>
      <c r="Q230" s="2" t="str">
        <f t="shared" si="10"/>
        <v/>
      </c>
      <c r="R230" s="4"/>
      <c r="S230" s="4"/>
      <c r="T230" s="2" t="str">
        <f t="shared" si="11"/>
        <v/>
      </c>
    </row>
    <row r="231" spans="2:20" ht="14.4" x14ac:dyDescent="0.3">
      <c r="B231" s="4"/>
      <c r="C231" s="16"/>
      <c r="D231" s="4"/>
      <c r="E231" s="4"/>
      <c r="F231" s="4"/>
      <c r="G231" s="4"/>
      <c r="H231" s="4"/>
      <c r="I231" s="4"/>
      <c r="J231" s="4"/>
      <c r="K231" s="4"/>
      <c r="L231" s="4"/>
      <c r="M231" s="16"/>
      <c r="N231" s="16"/>
      <c r="O231" s="2" t="str">
        <f ca="1">IF(C231="","",IF(OR(F231="Closed",F231=""),0,IF(N231&lt;&gt;"",MAX(0,N231-M231),MAX(0,TODAY()-IF(M231="",C231+IF(E231="Critical",Admin!$C$11,Admin!$C$10),M231)))))</f>
        <v/>
      </c>
      <c r="P231" s="2" t="str">
        <f t="shared" si="9"/>
        <v/>
      </c>
      <c r="Q231" s="2" t="str">
        <f t="shared" si="10"/>
        <v/>
      </c>
      <c r="R231" s="4"/>
      <c r="S231" s="4"/>
      <c r="T231" s="2" t="str">
        <f t="shared" si="11"/>
        <v/>
      </c>
    </row>
    <row r="232" spans="2:20" ht="14.4" x14ac:dyDescent="0.3">
      <c r="B232" s="4"/>
      <c r="C232" s="16"/>
      <c r="D232" s="4"/>
      <c r="E232" s="4"/>
      <c r="F232" s="4"/>
      <c r="G232" s="4"/>
      <c r="H232" s="4"/>
      <c r="I232" s="4"/>
      <c r="J232" s="4"/>
      <c r="K232" s="4"/>
      <c r="L232" s="4"/>
      <c r="M232" s="16"/>
      <c r="N232" s="16"/>
      <c r="O232" s="2" t="str">
        <f ca="1">IF(C232="","",IF(OR(F232="Closed",F232=""),0,IF(N232&lt;&gt;"",MAX(0,N232-M232),MAX(0,TODAY()-IF(M232="",C232+IF(E232="Critical",Admin!$C$11,Admin!$C$10),M232)))))</f>
        <v/>
      </c>
      <c r="P232" s="2" t="str">
        <f t="shared" si="9"/>
        <v/>
      </c>
      <c r="Q232" s="2" t="str">
        <f t="shared" si="10"/>
        <v/>
      </c>
      <c r="R232" s="4"/>
      <c r="S232" s="4"/>
      <c r="T232" s="2" t="str">
        <f t="shared" si="11"/>
        <v/>
      </c>
    </row>
    <row r="233" spans="2:20" ht="14.4" x14ac:dyDescent="0.3">
      <c r="B233" s="4"/>
      <c r="C233" s="16"/>
      <c r="D233" s="4"/>
      <c r="E233" s="4"/>
      <c r="F233" s="4"/>
      <c r="G233" s="4"/>
      <c r="H233" s="4"/>
      <c r="I233" s="4"/>
      <c r="J233" s="4"/>
      <c r="K233" s="4"/>
      <c r="L233" s="4"/>
      <c r="M233" s="16"/>
      <c r="N233" s="16"/>
      <c r="O233" s="2" t="str">
        <f ca="1">IF(C233="","",IF(OR(F233="Closed",F233=""),0,IF(N233&lt;&gt;"",MAX(0,N233-M233),MAX(0,TODAY()-IF(M233="",C233+IF(E233="Critical",Admin!$C$11,Admin!$C$10),M233)))))</f>
        <v/>
      </c>
      <c r="P233" s="2" t="str">
        <f t="shared" si="9"/>
        <v/>
      </c>
      <c r="Q233" s="2" t="str">
        <f t="shared" si="10"/>
        <v/>
      </c>
      <c r="R233" s="4"/>
      <c r="S233" s="4"/>
      <c r="T233" s="2" t="str">
        <f t="shared" si="11"/>
        <v/>
      </c>
    </row>
    <row r="234" spans="2:20" ht="14.4" x14ac:dyDescent="0.3">
      <c r="B234" s="4"/>
      <c r="C234" s="16"/>
      <c r="D234" s="4"/>
      <c r="E234" s="4"/>
      <c r="F234" s="4"/>
      <c r="G234" s="4"/>
      <c r="H234" s="4"/>
      <c r="I234" s="4"/>
      <c r="J234" s="4"/>
      <c r="K234" s="4"/>
      <c r="L234" s="4"/>
      <c r="M234" s="16"/>
      <c r="N234" s="16"/>
      <c r="O234" s="2" t="str">
        <f ca="1">IF(C234="","",IF(OR(F234="Closed",F234=""),0,IF(N234&lt;&gt;"",MAX(0,N234-M234),MAX(0,TODAY()-IF(M234="",C234+IF(E234="Critical",Admin!$C$11,Admin!$C$10),M234)))))</f>
        <v/>
      </c>
      <c r="P234" s="2" t="str">
        <f t="shared" si="9"/>
        <v/>
      </c>
      <c r="Q234" s="2" t="str">
        <f t="shared" si="10"/>
        <v/>
      </c>
      <c r="R234" s="4"/>
      <c r="S234" s="4"/>
      <c r="T234" s="2" t="str">
        <f t="shared" si="11"/>
        <v/>
      </c>
    </row>
    <row r="235" spans="2:20" ht="14.4" x14ac:dyDescent="0.3">
      <c r="B235" s="4"/>
      <c r="C235" s="16"/>
      <c r="D235" s="4"/>
      <c r="E235" s="4"/>
      <c r="F235" s="4"/>
      <c r="G235" s="4"/>
      <c r="H235" s="4"/>
      <c r="I235" s="4"/>
      <c r="J235" s="4"/>
      <c r="K235" s="4"/>
      <c r="L235" s="4"/>
      <c r="M235" s="16"/>
      <c r="N235" s="16"/>
      <c r="O235" s="2" t="str">
        <f ca="1">IF(C235="","",IF(OR(F235="Closed",F235=""),0,IF(N235&lt;&gt;"",MAX(0,N235-M235),MAX(0,TODAY()-IF(M235="",C235+IF(E235="Critical",Admin!$C$11,Admin!$C$10),M235)))))</f>
        <v/>
      </c>
      <c r="P235" s="2" t="str">
        <f t="shared" si="9"/>
        <v/>
      </c>
      <c r="Q235" s="2" t="str">
        <f t="shared" si="10"/>
        <v/>
      </c>
      <c r="R235" s="4"/>
      <c r="S235" s="4"/>
      <c r="T235" s="2" t="str">
        <f t="shared" si="11"/>
        <v/>
      </c>
    </row>
    <row r="236" spans="2:20" ht="14.4" x14ac:dyDescent="0.3">
      <c r="B236" s="4"/>
      <c r="C236" s="16"/>
      <c r="D236" s="4"/>
      <c r="E236" s="4"/>
      <c r="F236" s="4"/>
      <c r="G236" s="4"/>
      <c r="H236" s="4"/>
      <c r="I236" s="4"/>
      <c r="J236" s="4"/>
      <c r="K236" s="4"/>
      <c r="L236" s="4"/>
      <c r="M236" s="16"/>
      <c r="N236" s="16"/>
      <c r="O236" s="2" t="str">
        <f ca="1">IF(C236="","",IF(OR(F236="Closed",F236=""),0,IF(N236&lt;&gt;"",MAX(0,N236-M236),MAX(0,TODAY()-IF(M236="",C236+IF(E236="Critical",Admin!$C$11,Admin!$C$10),M236)))))</f>
        <v/>
      </c>
      <c r="P236" s="2" t="str">
        <f t="shared" si="9"/>
        <v/>
      </c>
      <c r="Q236" s="2" t="str">
        <f t="shared" si="10"/>
        <v/>
      </c>
      <c r="R236" s="4"/>
      <c r="S236" s="4"/>
      <c r="T236" s="2" t="str">
        <f t="shared" si="11"/>
        <v/>
      </c>
    </row>
    <row r="237" spans="2:20" ht="14.4" x14ac:dyDescent="0.3">
      <c r="B237" s="4"/>
      <c r="C237" s="16"/>
      <c r="D237" s="4"/>
      <c r="E237" s="4"/>
      <c r="F237" s="4"/>
      <c r="G237" s="4"/>
      <c r="H237" s="4"/>
      <c r="I237" s="4"/>
      <c r="J237" s="4"/>
      <c r="K237" s="4"/>
      <c r="L237" s="4"/>
      <c r="M237" s="16"/>
      <c r="N237" s="16"/>
      <c r="O237" s="2" t="str">
        <f ca="1">IF(C237="","",IF(OR(F237="Closed",F237=""),0,IF(N237&lt;&gt;"",MAX(0,N237-M237),MAX(0,TODAY()-IF(M237="",C237+IF(E237="Critical",Admin!$C$11,Admin!$C$10),M237)))))</f>
        <v/>
      </c>
      <c r="P237" s="2" t="str">
        <f t="shared" si="9"/>
        <v/>
      </c>
      <c r="Q237" s="2" t="str">
        <f t="shared" si="10"/>
        <v/>
      </c>
      <c r="R237" s="4"/>
      <c r="S237" s="4"/>
      <c r="T237" s="2" t="str">
        <f t="shared" si="11"/>
        <v/>
      </c>
    </row>
    <row r="238" spans="2:20" ht="14.4" x14ac:dyDescent="0.3">
      <c r="B238" s="4"/>
      <c r="C238" s="16"/>
      <c r="D238" s="4"/>
      <c r="E238" s="4"/>
      <c r="F238" s="4"/>
      <c r="G238" s="4"/>
      <c r="H238" s="4"/>
      <c r="I238" s="4"/>
      <c r="J238" s="4"/>
      <c r="K238" s="4"/>
      <c r="L238" s="4"/>
      <c r="M238" s="16"/>
      <c r="N238" s="16"/>
      <c r="O238" s="2" t="str">
        <f ca="1">IF(C238="","",IF(OR(F238="Closed",F238=""),0,IF(N238&lt;&gt;"",MAX(0,N238-M238),MAX(0,TODAY()-IF(M238="",C238+IF(E238="Critical",Admin!$C$11,Admin!$C$10),M238)))))</f>
        <v/>
      </c>
      <c r="P238" s="2" t="str">
        <f t="shared" si="9"/>
        <v/>
      </c>
      <c r="Q238" s="2" t="str">
        <f t="shared" si="10"/>
        <v/>
      </c>
      <c r="R238" s="4"/>
      <c r="S238" s="4"/>
      <c r="T238" s="2" t="str">
        <f t="shared" si="11"/>
        <v/>
      </c>
    </row>
    <row r="239" spans="2:20" ht="14.4" x14ac:dyDescent="0.3">
      <c r="B239" s="4"/>
      <c r="C239" s="16"/>
      <c r="D239" s="4"/>
      <c r="E239" s="4"/>
      <c r="F239" s="4"/>
      <c r="G239" s="4"/>
      <c r="H239" s="4"/>
      <c r="I239" s="4"/>
      <c r="J239" s="4"/>
      <c r="K239" s="4"/>
      <c r="L239" s="4"/>
      <c r="M239" s="16"/>
      <c r="N239" s="16"/>
      <c r="O239" s="2" t="str">
        <f ca="1">IF(C239="","",IF(OR(F239="Closed",F239=""),0,IF(N239&lt;&gt;"",MAX(0,N239-M239),MAX(0,TODAY()-IF(M239="",C239+IF(E239="Critical",Admin!$C$11,Admin!$C$10),M239)))))</f>
        <v/>
      </c>
      <c r="P239" s="2" t="str">
        <f t="shared" si="9"/>
        <v/>
      </c>
      <c r="Q239" s="2" t="str">
        <f t="shared" si="10"/>
        <v/>
      </c>
      <c r="R239" s="4"/>
      <c r="S239" s="4"/>
      <c r="T239" s="2" t="str">
        <f t="shared" si="11"/>
        <v/>
      </c>
    </row>
    <row r="240" spans="2:20" ht="14.4" x14ac:dyDescent="0.3">
      <c r="B240" s="4"/>
      <c r="C240" s="16"/>
      <c r="D240" s="4"/>
      <c r="E240" s="4"/>
      <c r="F240" s="4"/>
      <c r="G240" s="4"/>
      <c r="H240" s="4"/>
      <c r="I240" s="4"/>
      <c r="J240" s="4"/>
      <c r="K240" s="4"/>
      <c r="L240" s="4"/>
      <c r="M240" s="16"/>
      <c r="N240" s="16"/>
      <c r="O240" s="2" t="str">
        <f ca="1">IF(C240="","",IF(OR(F240="Closed",F240=""),0,IF(N240&lt;&gt;"",MAX(0,N240-M240),MAX(0,TODAY()-IF(M240="",C240+IF(E240="Critical",Admin!$C$11,Admin!$C$10),M240)))))</f>
        <v/>
      </c>
      <c r="P240" s="2" t="str">
        <f t="shared" si="9"/>
        <v/>
      </c>
      <c r="Q240" s="2" t="str">
        <f t="shared" si="10"/>
        <v/>
      </c>
      <c r="R240" s="4"/>
      <c r="S240" s="4"/>
      <c r="T240" s="2" t="str">
        <f t="shared" si="11"/>
        <v/>
      </c>
    </row>
    <row r="241" spans="2:20" ht="14.4" x14ac:dyDescent="0.3">
      <c r="B241" s="4"/>
      <c r="C241" s="16"/>
      <c r="D241" s="4"/>
      <c r="E241" s="4"/>
      <c r="F241" s="4"/>
      <c r="G241" s="4"/>
      <c r="H241" s="4"/>
      <c r="I241" s="4"/>
      <c r="J241" s="4"/>
      <c r="K241" s="4"/>
      <c r="L241" s="4"/>
      <c r="M241" s="16"/>
      <c r="N241" s="16"/>
      <c r="O241" s="2" t="str">
        <f ca="1">IF(C241="","",IF(OR(F241="Closed",F241=""),0,IF(N241&lt;&gt;"",MAX(0,N241-M241),MAX(0,TODAY()-IF(M241="",C241+IF(E241="Critical",Admin!$C$11,Admin!$C$10),M241)))))</f>
        <v/>
      </c>
      <c r="P241" s="2" t="str">
        <f t="shared" si="9"/>
        <v/>
      </c>
      <c r="Q241" s="2" t="str">
        <f t="shared" si="10"/>
        <v/>
      </c>
      <c r="R241" s="4"/>
      <c r="S241" s="4"/>
      <c r="T241" s="2" t="str">
        <f t="shared" si="11"/>
        <v/>
      </c>
    </row>
    <row r="242" spans="2:20" ht="14.4" x14ac:dyDescent="0.3">
      <c r="B242" s="4"/>
      <c r="C242" s="16"/>
      <c r="D242" s="4"/>
      <c r="E242" s="4"/>
      <c r="F242" s="4"/>
      <c r="G242" s="4"/>
      <c r="H242" s="4"/>
      <c r="I242" s="4"/>
      <c r="J242" s="4"/>
      <c r="K242" s="4"/>
      <c r="L242" s="4"/>
      <c r="M242" s="16"/>
      <c r="N242" s="16"/>
      <c r="O242" s="2" t="str">
        <f ca="1">IF(C242="","",IF(OR(F242="Closed",F242=""),0,IF(N242&lt;&gt;"",MAX(0,N242-M242),MAX(0,TODAY()-IF(M242="",C242+IF(E242="Critical",Admin!$C$11,Admin!$C$10),M242)))))</f>
        <v/>
      </c>
      <c r="P242" s="2" t="str">
        <f t="shared" si="9"/>
        <v/>
      </c>
      <c r="Q242" s="2" t="str">
        <f t="shared" si="10"/>
        <v/>
      </c>
      <c r="R242" s="4"/>
      <c r="S242" s="4"/>
      <c r="T242" s="2" t="str">
        <f t="shared" si="11"/>
        <v/>
      </c>
    </row>
    <row r="243" spans="2:20" ht="14.4" x14ac:dyDescent="0.3">
      <c r="B243" s="4"/>
      <c r="C243" s="16"/>
      <c r="D243" s="4"/>
      <c r="E243" s="4"/>
      <c r="F243" s="4"/>
      <c r="G243" s="4"/>
      <c r="H243" s="4"/>
      <c r="I243" s="4"/>
      <c r="J243" s="4"/>
      <c r="K243" s="4"/>
      <c r="L243" s="4"/>
      <c r="M243" s="16"/>
      <c r="N243" s="16"/>
      <c r="O243" s="2" t="str">
        <f ca="1">IF(C243="","",IF(OR(F243="Closed",F243=""),0,IF(N243&lt;&gt;"",MAX(0,N243-M243),MAX(0,TODAY()-IF(M243="",C243+IF(E243="Critical",Admin!$C$11,Admin!$C$10),M243)))))</f>
        <v/>
      </c>
      <c r="P243" s="2" t="str">
        <f t="shared" si="9"/>
        <v/>
      </c>
      <c r="Q243" s="2" t="str">
        <f t="shared" si="10"/>
        <v/>
      </c>
      <c r="R243" s="4"/>
      <c r="S243" s="4"/>
      <c r="T243" s="2" t="str">
        <f t="shared" si="11"/>
        <v/>
      </c>
    </row>
    <row r="244" spans="2:20" ht="14.4" x14ac:dyDescent="0.3">
      <c r="B244" s="4"/>
      <c r="C244" s="16"/>
      <c r="D244" s="4"/>
      <c r="E244" s="4"/>
      <c r="F244" s="4"/>
      <c r="G244" s="4"/>
      <c r="H244" s="4"/>
      <c r="I244" s="4"/>
      <c r="J244" s="4"/>
      <c r="K244" s="4"/>
      <c r="L244" s="4"/>
      <c r="M244" s="16"/>
      <c r="N244" s="16"/>
      <c r="O244" s="2" t="str">
        <f ca="1">IF(C244="","",IF(OR(F244="Closed",F244=""),0,IF(N244&lt;&gt;"",MAX(0,N244-M244),MAX(0,TODAY()-IF(M244="",C244+IF(E244="Critical",Admin!$C$11,Admin!$C$10),M244)))))</f>
        <v/>
      </c>
      <c r="P244" s="2" t="str">
        <f t="shared" si="9"/>
        <v/>
      </c>
      <c r="Q244" s="2" t="str">
        <f t="shared" si="10"/>
        <v/>
      </c>
      <c r="R244" s="4"/>
      <c r="S244" s="4"/>
      <c r="T244" s="2" t="str">
        <f t="shared" si="11"/>
        <v/>
      </c>
    </row>
    <row r="245" spans="2:20" ht="14.4" x14ac:dyDescent="0.3">
      <c r="B245" s="4"/>
      <c r="C245" s="16"/>
      <c r="D245" s="4"/>
      <c r="E245" s="4"/>
      <c r="F245" s="4"/>
      <c r="G245" s="4"/>
      <c r="H245" s="4"/>
      <c r="I245" s="4"/>
      <c r="J245" s="4"/>
      <c r="K245" s="4"/>
      <c r="L245" s="4"/>
      <c r="M245" s="16"/>
      <c r="N245" s="16"/>
      <c r="O245" s="2" t="str">
        <f ca="1">IF(C245="","",IF(OR(F245="Closed",F245=""),0,IF(N245&lt;&gt;"",MAX(0,N245-M245),MAX(0,TODAY()-IF(M245="",C245+IF(E245="Critical",Admin!$C$11,Admin!$C$10),M245)))))</f>
        <v/>
      </c>
      <c r="P245" s="2" t="str">
        <f t="shared" si="9"/>
        <v/>
      </c>
      <c r="Q245" s="2" t="str">
        <f t="shared" si="10"/>
        <v/>
      </c>
      <c r="R245" s="4"/>
      <c r="S245" s="4"/>
      <c r="T245" s="2" t="str">
        <f t="shared" si="11"/>
        <v/>
      </c>
    </row>
    <row r="246" spans="2:20" ht="14.4" x14ac:dyDescent="0.3">
      <c r="B246" s="4"/>
      <c r="C246" s="16"/>
      <c r="D246" s="4"/>
      <c r="E246" s="4"/>
      <c r="F246" s="4"/>
      <c r="G246" s="4"/>
      <c r="H246" s="4"/>
      <c r="I246" s="4"/>
      <c r="J246" s="4"/>
      <c r="K246" s="4"/>
      <c r="L246" s="4"/>
      <c r="M246" s="16"/>
      <c r="N246" s="16"/>
      <c r="O246" s="2" t="str">
        <f ca="1">IF(C246="","",IF(OR(F246="Closed",F246=""),0,IF(N246&lt;&gt;"",MAX(0,N246-M246),MAX(0,TODAY()-IF(M246="",C246+IF(E246="Critical",Admin!$C$11,Admin!$C$10),M246)))))</f>
        <v/>
      </c>
      <c r="P246" s="2" t="str">
        <f t="shared" si="9"/>
        <v/>
      </c>
      <c r="Q246" s="2" t="str">
        <f t="shared" si="10"/>
        <v/>
      </c>
      <c r="R246" s="4"/>
      <c r="S246" s="4"/>
      <c r="T246" s="2" t="str">
        <f t="shared" si="11"/>
        <v/>
      </c>
    </row>
    <row r="247" spans="2:20" ht="14.4" x14ac:dyDescent="0.3">
      <c r="B247" s="4"/>
      <c r="C247" s="16"/>
      <c r="D247" s="4"/>
      <c r="E247" s="4"/>
      <c r="F247" s="4"/>
      <c r="G247" s="4"/>
      <c r="H247" s="4"/>
      <c r="I247" s="4"/>
      <c r="J247" s="4"/>
      <c r="K247" s="4"/>
      <c r="L247" s="4"/>
      <c r="M247" s="16"/>
      <c r="N247" s="16"/>
      <c r="O247" s="2" t="str">
        <f ca="1">IF(C247="","",IF(OR(F247="Closed",F247=""),0,IF(N247&lt;&gt;"",MAX(0,N247-M247),MAX(0,TODAY()-IF(M247="",C247+IF(E247="Critical",Admin!$C$11,Admin!$C$10),M247)))))</f>
        <v/>
      </c>
      <c r="P247" s="2" t="str">
        <f t="shared" si="9"/>
        <v/>
      </c>
      <c r="Q247" s="2" t="str">
        <f t="shared" si="10"/>
        <v/>
      </c>
      <c r="R247" s="4"/>
      <c r="S247" s="4"/>
      <c r="T247" s="2" t="str">
        <f t="shared" si="11"/>
        <v/>
      </c>
    </row>
    <row r="248" spans="2:20" ht="14.4" x14ac:dyDescent="0.3">
      <c r="B248" s="4"/>
      <c r="C248" s="16"/>
      <c r="D248" s="4"/>
      <c r="E248" s="4"/>
      <c r="F248" s="4"/>
      <c r="G248" s="4"/>
      <c r="H248" s="4"/>
      <c r="I248" s="4"/>
      <c r="J248" s="4"/>
      <c r="K248" s="4"/>
      <c r="L248" s="4"/>
      <c r="M248" s="16"/>
      <c r="N248" s="16"/>
      <c r="O248" s="2" t="str">
        <f ca="1">IF(C248="","",IF(OR(F248="Closed",F248=""),0,IF(N248&lt;&gt;"",MAX(0,N248-M248),MAX(0,TODAY()-IF(M248="",C248+IF(E248="Critical",Admin!$C$11,Admin!$C$10),M248)))))</f>
        <v/>
      </c>
      <c r="P248" s="2" t="str">
        <f t="shared" si="9"/>
        <v/>
      </c>
      <c r="Q248" s="2" t="str">
        <f t="shared" si="10"/>
        <v/>
      </c>
      <c r="R248" s="4"/>
      <c r="S248" s="4"/>
      <c r="T248" s="2" t="str">
        <f t="shared" si="11"/>
        <v/>
      </c>
    </row>
    <row r="249" spans="2:20" ht="14.4" x14ac:dyDescent="0.3">
      <c r="B249" s="4"/>
      <c r="C249" s="16"/>
      <c r="D249" s="4"/>
      <c r="E249" s="4"/>
      <c r="F249" s="4"/>
      <c r="G249" s="4"/>
      <c r="H249" s="4"/>
      <c r="I249" s="4"/>
      <c r="J249" s="4"/>
      <c r="K249" s="4"/>
      <c r="L249" s="4"/>
      <c r="M249" s="16"/>
      <c r="N249" s="16"/>
      <c r="O249" s="2" t="str">
        <f ca="1">IF(C249="","",IF(OR(F249="Closed",F249=""),0,IF(N249&lt;&gt;"",MAX(0,N249-M249),MAX(0,TODAY()-IF(M249="",C249+IF(E249="Critical",Admin!$C$11,Admin!$C$10),M249)))))</f>
        <v/>
      </c>
      <c r="P249" s="2" t="str">
        <f t="shared" si="9"/>
        <v/>
      </c>
      <c r="Q249" s="2" t="str">
        <f t="shared" si="10"/>
        <v/>
      </c>
      <c r="R249" s="4"/>
      <c r="S249" s="4"/>
      <c r="T249" s="2" t="str">
        <f t="shared" si="11"/>
        <v/>
      </c>
    </row>
  </sheetData>
  <mergeCells count="2">
    <mergeCell ref="A1:T1"/>
    <mergeCell ref="A2:T2"/>
  </mergeCells>
  <conditionalFormatting sqref="E5:E250">
    <cfRule type="expression" dxfId="16" priority="5">
      <formula>$E5="Critical"</formula>
    </cfRule>
    <cfRule type="expression" dxfId="15" priority="6">
      <formula>$E5="High"</formula>
    </cfRule>
  </conditionalFormatting>
  <conditionalFormatting sqref="F5:F250">
    <cfRule type="expression" dxfId="14" priority="2">
      <formula>$F5="Open"</formula>
    </cfRule>
    <cfRule type="expression" dxfId="13" priority="3">
      <formula>$F5="Closed"</formula>
    </cfRule>
    <cfRule type="expression" dxfId="12" priority="4">
      <formula>$F5="In Progress"</formula>
    </cfRule>
  </conditionalFormatting>
  <conditionalFormatting sqref="O5:O250">
    <cfRule type="cellIs" dxfId="11" priority="1" operator="greaterThan">
      <formula>0</formula>
    </cfRule>
  </conditionalFormatting>
  <pageMargins left="0.75" right="0.75" top="1" bottom="1" header="0.5" footer="0.5"/>
  <pageSetup paperSize="9" fitToHeight="0" orientation="landscape"/>
  <headerFooter>
    <oddHeader>&amp;LKAZ PP Expansion | EHS</oddHeader>
    <oddFooter>&amp;RConfidential | 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600-000000000000}">
          <x14:formula1>
            <xm:f>Lookups!$B$5:$B$24</xm:f>
          </x14:formula1>
          <xm:sqref>D5:D250</xm:sqref>
        </x14:dataValidation>
        <x14:dataValidation type="list" allowBlank="1" xr:uid="{00000000-0002-0000-0600-000001000000}">
          <x14:formula1>
            <xm:f>Lookups!$D$5:$D$8</xm:f>
          </x14:formula1>
          <xm:sqref>E5:E250</xm:sqref>
        </x14:dataValidation>
        <x14:dataValidation type="list" allowBlank="1" xr:uid="{00000000-0002-0000-0600-000002000000}">
          <x14:formula1>
            <xm:f>Lookups!$C$5:$C$8</xm:f>
          </x14:formula1>
          <xm:sqref>F5:F250</xm:sqref>
        </x14:dataValidation>
        <x14:dataValidation type="list" allowBlank="1" xr:uid="{00000000-0002-0000-0600-000003000000}">
          <x14:formula1>
            <xm:f>Lookups!$E$5:$E$12</xm:f>
          </x14:formula1>
          <xm:sqref>G5:G250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8E44AD"/>
    <pageSetUpPr fitToPage="1"/>
  </sheetPr>
  <dimension ref="A1:R79"/>
  <sheetViews>
    <sheetView showGridLines="0" workbookViewId="0">
      <pane ySplit="4" topLeftCell="A5" activePane="bottomLeft" state="frozen"/>
      <selection pane="bottomLeft"/>
    </sheetView>
  </sheetViews>
  <sheetFormatPr defaultRowHeight="13.8" x14ac:dyDescent="0.25"/>
  <cols>
    <col min="1" max="1" width="5" customWidth="1"/>
    <col min="2" max="3" width="12" customWidth="1"/>
    <col min="4" max="4" width="18" customWidth="1"/>
    <col min="5" max="5" width="16" customWidth="1"/>
    <col min="6" max="6" width="36" customWidth="1"/>
    <col min="7" max="7" width="28" customWidth="1"/>
    <col min="8" max="8" width="16" customWidth="1"/>
    <col min="9" max="9" width="14" customWidth="1"/>
    <col min="10" max="11" width="12" customWidth="1"/>
    <col min="12" max="12" width="14" customWidth="1"/>
    <col min="13" max="13" width="18" customWidth="1"/>
    <col min="14" max="15" width="16" customWidth="1"/>
    <col min="17" max="17" width="14" customWidth="1"/>
    <col min="18" max="18" width="12" customWidth="1"/>
  </cols>
  <sheetData>
    <row r="1" spans="1:18" ht="31.95" customHeight="1" x14ac:dyDescent="0.25">
      <c r="A1" s="29" t="s">
        <v>413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</row>
    <row r="2" spans="1:18" ht="19.95" customHeight="1" x14ac:dyDescent="0.25">
      <c r="A2" s="34" t="s">
        <v>414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4" spans="1:18" ht="14.4" x14ac:dyDescent="0.3">
      <c r="B4" s="5" t="s">
        <v>415</v>
      </c>
      <c r="C4" s="5" t="s">
        <v>272</v>
      </c>
      <c r="D4" s="5" t="s">
        <v>292</v>
      </c>
      <c r="E4" s="5" t="s">
        <v>416</v>
      </c>
      <c r="F4" s="5" t="s">
        <v>417</v>
      </c>
      <c r="G4" s="5" t="s">
        <v>418</v>
      </c>
      <c r="H4" s="5" t="s">
        <v>419</v>
      </c>
      <c r="I4" s="5" t="s">
        <v>420</v>
      </c>
      <c r="J4" s="5" t="s">
        <v>421</v>
      </c>
      <c r="K4" s="5" t="s">
        <v>303</v>
      </c>
      <c r="L4" s="5" t="s">
        <v>111</v>
      </c>
      <c r="M4" s="5" t="s">
        <v>422</v>
      </c>
      <c r="N4" s="5" t="s">
        <v>423</v>
      </c>
      <c r="O4" s="5" t="s">
        <v>424</v>
      </c>
      <c r="Q4" t="s">
        <v>425</v>
      </c>
      <c r="R4" s="2">
        <f>COUNTIF(L5:L80,"Open")+COUNTIF(L5:L80,"In Progress")</f>
        <v>2</v>
      </c>
    </row>
    <row r="5" spans="1:18" ht="14.4" x14ac:dyDescent="0.3">
      <c r="B5" s="4" t="s">
        <v>426</v>
      </c>
      <c r="C5" s="16">
        <v>46085</v>
      </c>
      <c r="D5" s="4" t="s">
        <v>92</v>
      </c>
      <c r="E5" s="4" t="s">
        <v>365</v>
      </c>
      <c r="F5" s="4" t="s">
        <v>427</v>
      </c>
      <c r="G5" s="4" t="s">
        <v>428</v>
      </c>
      <c r="H5" s="4" t="s">
        <v>429</v>
      </c>
      <c r="I5" s="4" t="s">
        <v>139</v>
      </c>
      <c r="J5" s="16">
        <v>46092</v>
      </c>
      <c r="K5" s="4"/>
      <c r="L5" s="4" t="s">
        <v>119</v>
      </c>
      <c r="M5" s="2">
        <f t="shared" ref="M5:M36" ca="1" si="0">IF(C5="","",IF(L5="Closed",IF(K5="",0,K5-C5),TODAY()-C5))</f>
        <v>190</v>
      </c>
      <c r="N5" s="4" t="s">
        <v>179</v>
      </c>
      <c r="O5" s="4" t="s">
        <v>366</v>
      </c>
    </row>
    <row r="6" spans="1:18" ht="14.4" x14ac:dyDescent="0.3">
      <c r="B6" s="4" t="s">
        <v>430</v>
      </c>
      <c r="C6" s="16">
        <v>46091</v>
      </c>
      <c r="D6" s="4" t="s">
        <v>140</v>
      </c>
      <c r="E6" s="4" t="s">
        <v>407</v>
      </c>
      <c r="F6" s="4" t="s">
        <v>431</v>
      </c>
      <c r="G6" s="4" t="s">
        <v>432</v>
      </c>
      <c r="H6" s="4" t="s">
        <v>433</v>
      </c>
      <c r="I6" s="4" t="s">
        <v>139</v>
      </c>
      <c r="J6" s="16">
        <v>46098</v>
      </c>
      <c r="K6" s="4"/>
      <c r="L6" s="4" t="s">
        <v>119</v>
      </c>
      <c r="M6" s="2">
        <f t="shared" ca="1" si="0"/>
        <v>184</v>
      </c>
      <c r="N6" s="4" t="s">
        <v>179</v>
      </c>
      <c r="O6" s="4" t="s">
        <v>408</v>
      </c>
    </row>
    <row r="7" spans="1:18" ht="14.4" x14ac:dyDescent="0.3">
      <c r="B7" s="4"/>
      <c r="C7" s="16"/>
      <c r="D7" s="4"/>
      <c r="E7" s="4"/>
      <c r="F7" s="4"/>
      <c r="G7" s="4"/>
      <c r="H7" s="4"/>
      <c r="I7" s="4"/>
      <c r="J7" s="16"/>
      <c r="K7" s="16"/>
      <c r="L7" s="4"/>
      <c r="M7" s="2" t="str">
        <f t="shared" ca="1" si="0"/>
        <v/>
      </c>
      <c r="N7" s="4"/>
      <c r="O7" s="4"/>
    </row>
    <row r="8" spans="1:18" ht="14.4" x14ac:dyDescent="0.3">
      <c r="B8" s="4"/>
      <c r="C8" s="16"/>
      <c r="D8" s="4"/>
      <c r="E8" s="4"/>
      <c r="F8" s="4"/>
      <c r="G8" s="4"/>
      <c r="H8" s="4"/>
      <c r="I8" s="4"/>
      <c r="J8" s="16"/>
      <c r="K8" s="16"/>
      <c r="L8" s="4"/>
      <c r="M8" s="2" t="str">
        <f t="shared" ca="1" si="0"/>
        <v/>
      </c>
      <c r="N8" s="4"/>
      <c r="O8" s="4"/>
    </row>
    <row r="9" spans="1:18" ht="14.4" x14ac:dyDescent="0.3">
      <c r="B9" s="4"/>
      <c r="C9" s="16"/>
      <c r="D9" s="4"/>
      <c r="E9" s="4"/>
      <c r="F9" s="4"/>
      <c r="G9" s="4"/>
      <c r="H9" s="4"/>
      <c r="I9" s="4"/>
      <c r="J9" s="16"/>
      <c r="K9" s="16"/>
      <c r="L9" s="4"/>
      <c r="M9" s="2" t="str">
        <f t="shared" ca="1" si="0"/>
        <v/>
      </c>
      <c r="N9" s="4"/>
      <c r="O9" s="4"/>
    </row>
    <row r="10" spans="1:18" ht="14.4" x14ac:dyDescent="0.3">
      <c r="B10" s="4"/>
      <c r="C10" s="16"/>
      <c r="D10" s="4"/>
      <c r="E10" s="4"/>
      <c r="F10" s="4"/>
      <c r="G10" s="4"/>
      <c r="H10" s="4"/>
      <c r="I10" s="4"/>
      <c r="J10" s="16"/>
      <c r="K10" s="16"/>
      <c r="L10" s="4"/>
      <c r="M10" s="2" t="str">
        <f t="shared" ca="1" si="0"/>
        <v/>
      </c>
      <c r="N10" s="4"/>
      <c r="O10" s="4"/>
    </row>
    <row r="11" spans="1:18" ht="14.4" x14ac:dyDescent="0.3">
      <c r="B11" s="4"/>
      <c r="C11" s="16"/>
      <c r="D11" s="4"/>
      <c r="E11" s="4"/>
      <c r="F11" s="4"/>
      <c r="G11" s="4"/>
      <c r="H11" s="4"/>
      <c r="I11" s="4"/>
      <c r="J11" s="16"/>
      <c r="K11" s="16"/>
      <c r="L11" s="4"/>
      <c r="M11" s="2" t="str">
        <f t="shared" ca="1" si="0"/>
        <v/>
      </c>
      <c r="N11" s="4"/>
      <c r="O11" s="4"/>
    </row>
    <row r="12" spans="1:18" ht="14.4" x14ac:dyDescent="0.3">
      <c r="B12" s="4"/>
      <c r="C12" s="16"/>
      <c r="D12" s="4"/>
      <c r="E12" s="4"/>
      <c r="F12" s="4"/>
      <c r="G12" s="4"/>
      <c r="H12" s="4"/>
      <c r="I12" s="4"/>
      <c r="J12" s="16"/>
      <c r="K12" s="16"/>
      <c r="L12" s="4"/>
      <c r="M12" s="2" t="str">
        <f t="shared" ca="1" si="0"/>
        <v/>
      </c>
      <c r="N12" s="4"/>
      <c r="O12" s="4"/>
    </row>
    <row r="13" spans="1:18" ht="14.4" x14ac:dyDescent="0.3">
      <c r="B13" s="4"/>
      <c r="C13" s="16"/>
      <c r="D13" s="4"/>
      <c r="E13" s="4"/>
      <c r="F13" s="4"/>
      <c r="G13" s="4"/>
      <c r="H13" s="4"/>
      <c r="I13" s="4"/>
      <c r="J13" s="16"/>
      <c r="K13" s="16"/>
      <c r="L13" s="4"/>
      <c r="M13" s="2" t="str">
        <f t="shared" ca="1" si="0"/>
        <v/>
      </c>
      <c r="N13" s="4"/>
      <c r="O13" s="4"/>
    </row>
    <row r="14" spans="1:18" ht="14.4" x14ac:dyDescent="0.3">
      <c r="B14" s="4"/>
      <c r="C14" s="16"/>
      <c r="D14" s="4"/>
      <c r="E14" s="4"/>
      <c r="F14" s="4"/>
      <c r="G14" s="4"/>
      <c r="H14" s="4"/>
      <c r="I14" s="4"/>
      <c r="J14" s="16"/>
      <c r="K14" s="16"/>
      <c r="L14" s="4"/>
      <c r="M14" s="2" t="str">
        <f t="shared" ca="1" si="0"/>
        <v/>
      </c>
      <c r="N14" s="4"/>
      <c r="O14" s="4"/>
    </row>
    <row r="15" spans="1:18" ht="14.4" x14ac:dyDescent="0.3">
      <c r="B15" s="4"/>
      <c r="C15" s="16"/>
      <c r="D15" s="4"/>
      <c r="E15" s="4"/>
      <c r="F15" s="4"/>
      <c r="G15" s="4"/>
      <c r="H15" s="4"/>
      <c r="I15" s="4"/>
      <c r="J15" s="16"/>
      <c r="K15" s="16"/>
      <c r="L15" s="4"/>
      <c r="M15" s="2" t="str">
        <f t="shared" ca="1" si="0"/>
        <v/>
      </c>
      <c r="N15" s="4"/>
      <c r="O15" s="4"/>
    </row>
    <row r="16" spans="1:18" ht="14.4" x14ac:dyDescent="0.3">
      <c r="B16" s="4"/>
      <c r="C16" s="16"/>
      <c r="D16" s="4"/>
      <c r="E16" s="4"/>
      <c r="F16" s="4"/>
      <c r="G16" s="4"/>
      <c r="H16" s="4"/>
      <c r="I16" s="4"/>
      <c r="J16" s="16"/>
      <c r="K16" s="16"/>
      <c r="L16" s="4"/>
      <c r="M16" s="2" t="str">
        <f t="shared" ca="1" si="0"/>
        <v/>
      </c>
      <c r="N16" s="4"/>
      <c r="O16" s="4"/>
    </row>
    <row r="17" spans="2:15" ht="14.4" x14ac:dyDescent="0.3">
      <c r="B17" s="4"/>
      <c r="C17" s="16"/>
      <c r="D17" s="4"/>
      <c r="E17" s="4"/>
      <c r="F17" s="4"/>
      <c r="G17" s="4"/>
      <c r="H17" s="4"/>
      <c r="I17" s="4"/>
      <c r="J17" s="16"/>
      <c r="K17" s="16"/>
      <c r="L17" s="4"/>
      <c r="M17" s="2" t="str">
        <f t="shared" ca="1" si="0"/>
        <v/>
      </c>
      <c r="N17" s="4"/>
      <c r="O17" s="4"/>
    </row>
    <row r="18" spans="2:15" ht="14.4" x14ac:dyDescent="0.3">
      <c r="B18" s="4"/>
      <c r="C18" s="16"/>
      <c r="D18" s="4"/>
      <c r="E18" s="4"/>
      <c r="F18" s="4"/>
      <c r="G18" s="4"/>
      <c r="H18" s="4"/>
      <c r="I18" s="4"/>
      <c r="J18" s="16"/>
      <c r="K18" s="16"/>
      <c r="L18" s="4"/>
      <c r="M18" s="2" t="str">
        <f t="shared" ca="1" si="0"/>
        <v/>
      </c>
      <c r="N18" s="4"/>
      <c r="O18" s="4"/>
    </row>
    <row r="19" spans="2:15" ht="14.4" x14ac:dyDescent="0.3">
      <c r="B19" s="4"/>
      <c r="C19" s="16"/>
      <c r="D19" s="4"/>
      <c r="E19" s="4"/>
      <c r="F19" s="4"/>
      <c r="G19" s="4"/>
      <c r="H19" s="4"/>
      <c r="I19" s="4"/>
      <c r="J19" s="16"/>
      <c r="K19" s="16"/>
      <c r="L19" s="4"/>
      <c r="M19" s="2" t="str">
        <f t="shared" ca="1" si="0"/>
        <v/>
      </c>
      <c r="N19" s="4"/>
      <c r="O19" s="4"/>
    </row>
    <row r="20" spans="2:15" ht="14.4" x14ac:dyDescent="0.3">
      <c r="B20" s="4"/>
      <c r="C20" s="16"/>
      <c r="D20" s="4"/>
      <c r="E20" s="4"/>
      <c r="F20" s="4"/>
      <c r="G20" s="4"/>
      <c r="H20" s="4"/>
      <c r="I20" s="4"/>
      <c r="J20" s="16"/>
      <c r="K20" s="16"/>
      <c r="L20" s="4"/>
      <c r="M20" s="2" t="str">
        <f t="shared" ca="1" si="0"/>
        <v/>
      </c>
      <c r="N20" s="4"/>
      <c r="O20" s="4"/>
    </row>
    <row r="21" spans="2:15" ht="14.4" x14ac:dyDescent="0.3">
      <c r="B21" s="4"/>
      <c r="C21" s="16"/>
      <c r="D21" s="4"/>
      <c r="E21" s="4"/>
      <c r="F21" s="4"/>
      <c r="G21" s="4"/>
      <c r="H21" s="4"/>
      <c r="I21" s="4"/>
      <c r="J21" s="16"/>
      <c r="K21" s="16"/>
      <c r="L21" s="4"/>
      <c r="M21" s="2" t="str">
        <f t="shared" ca="1" si="0"/>
        <v/>
      </c>
      <c r="N21" s="4"/>
      <c r="O21" s="4"/>
    </row>
    <row r="22" spans="2:15" ht="14.4" x14ac:dyDescent="0.3">
      <c r="B22" s="4"/>
      <c r="C22" s="16"/>
      <c r="D22" s="4"/>
      <c r="E22" s="4"/>
      <c r="F22" s="4"/>
      <c r="G22" s="4"/>
      <c r="H22" s="4"/>
      <c r="I22" s="4"/>
      <c r="J22" s="16"/>
      <c r="K22" s="16"/>
      <c r="L22" s="4"/>
      <c r="M22" s="2" t="str">
        <f t="shared" ca="1" si="0"/>
        <v/>
      </c>
      <c r="N22" s="4"/>
      <c r="O22" s="4"/>
    </row>
    <row r="23" spans="2:15" ht="14.4" x14ac:dyDescent="0.3">
      <c r="B23" s="4"/>
      <c r="C23" s="16"/>
      <c r="D23" s="4"/>
      <c r="E23" s="4"/>
      <c r="F23" s="4"/>
      <c r="G23" s="4"/>
      <c r="H23" s="4"/>
      <c r="I23" s="4"/>
      <c r="J23" s="16"/>
      <c r="K23" s="16"/>
      <c r="L23" s="4"/>
      <c r="M23" s="2" t="str">
        <f t="shared" ca="1" si="0"/>
        <v/>
      </c>
      <c r="N23" s="4"/>
      <c r="O23" s="4"/>
    </row>
    <row r="24" spans="2:15" ht="14.4" x14ac:dyDescent="0.3">
      <c r="B24" s="4"/>
      <c r="C24" s="16"/>
      <c r="D24" s="4"/>
      <c r="E24" s="4"/>
      <c r="F24" s="4"/>
      <c r="G24" s="4"/>
      <c r="H24" s="4"/>
      <c r="I24" s="4"/>
      <c r="J24" s="16"/>
      <c r="K24" s="16"/>
      <c r="L24" s="4"/>
      <c r="M24" s="2" t="str">
        <f t="shared" ca="1" si="0"/>
        <v/>
      </c>
      <c r="N24" s="4"/>
      <c r="O24" s="4"/>
    </row>
    <row r="25" spans="2:15" ht="14.4" x14ac:dyDescent="0.3">
      <c r="B25" s="4"/>
      <c r="C25" s="16"/>
      <c r="D25" s="4"/>
      <c r="E25" s="4"/>
      <c r="F25" s="4"/>
      <c r="G25" s="4"/>
      <c r="H25" s="4"/>
      <c r="I25" s="4"/>
      <c r="J25" s="16"/>
      <c r="K25" s="16"/>
      <c r="L25" s="4"/>
      <c r="M25" s="2" t="str">
        <f t="shared" ca="1" si="0"/>
        <v/>
      </c>
      <c r="N25" s="4"/>
      <c r="O25" s="4"/>
    </row>
    <row r="26" spans="2:15" ht="14.4" x14ac:dyDescent="0.3">
      <c r="B26" s="4"/>
      <c r="C26" s="16"/>
      <c r="D26" s="4"/>
      <c r="E26" s="4"/>
      <c r="F26" s="4"/>
      <c r="G26" s="4"/>
      <c r="H26" s="4"/>
      <c r="I26" s="4"/>
      <c r="J26" s="16"/>
      <c r="K26" s="16"/>
      <c r="L26" s="4"/>
      <c r="M26" s="2" t="str">
        <f t="shared" ca="1" si="0"/>
        <v/>
      </c>
      <c r="N26" s="4"/>
      <c r="O26" s="4"/>
    </row>
    <row r="27" spans="2:15" ht="14.4" x14ac:dyDescent="0.3">
      <c r="B27" s="4"/>
      <c r="C27" s="16"/>
      <c r="D27" s="4"/>
      <c r="E27" s="4"/>
      <c r="F27" s="4"/>
      <c r="G27" s="4"/>
      <c r="H27" s="4"/>
      <c r="I27" s="4"/>
      <c r="J27" s="16"/>
      <c r="K27" s="16"/>
      <c r="L27" s="4"/>
      <c r="M27" s="2" t="str">
        <f t="shared" ca="1" si="0"/>
        <v/>
      </c>
      <c r="N27" s="4"/>
      <c r="O27" s="4"/>
    </row>
    <row r="28" spans="2:15" ht="14.4" x14ac:dyDescent="0.3">
      <c r="B28" s="4"/>
      <c r="C28" s="16"/>
      <c r="D28" s="4"/>
      <c r="E28" s="4"/>
      <c r="F28" s="4"/>
      <c r="G28" s="4"/>
      <c r="H28" s="4"/>
      <c r="I28" s="4"/>
      <c r="J28" s="16"/>
      <c r="K28" s="16"/>
      <c r="L28" s="4"/>
      <c r="M28" s="2" t="str">
        <f t="shared" ca="1" si="0"/>
        <v/>
      </c>
      <c r="N28" s="4"/>
      <c r="O28" s="4"/>
    </row>
    <row r="29" spans="2:15" ht="14.4" x14ac:dyDescent="0.3">
      <c r="B29" s="4"/>
      <c r="C29" s="16"/>
      <c r="D29" s="4"/>
      <c r="E29" s="4"/>
      <c r="F29" s="4"/>
      <c r="G29" s="4"/>
      <c r="H29" s="4"/>
      <c r="I29" s="4"/>
      <c r="J29" s="16"/>
      <c r="K29" s="16"/>
      <c r="L29" s="4"/>
      <c r="M29" s="2" t="str">
        <f t="shared" ca="1" si="0"/>
        <v/>
      </c>
      <c r="N29" s="4"/>
      <c r="O29" s="4"/>
    </row>
    <row r="30" spans="2:15" ht="14.4" x14ac:dyDescent="0.3">
      <c r="B30" s="4"/>
      <c r="C30" s="16"/>
      <c r="D30" s="4"/>
      <c r="E30" s="4"/>
      <c r="F30" s="4"/>
      <c r="G30" s="4"/>
      <c r="H30" s="4"/>
      <c r="I30" s="4"/>
      <c r="J30" s="16"/>
      <c r="K30" s="16"/>
      <c r="L30" s="4"/>
      <c r="M30" s="2" t="str">
        <f t="shared" ca="1" si="0"/>
        <v/>
      </c>
      <c r="N30" s="4"/>
      <c r="O30" s="4"/>
    </row>
    <row r="31" spans="2:15" ht="14.4" x14ac:dyDescent="0.3">
      <c r="B31" s="4"/>
      <c r="C31" s="16"/>
      <c r="D31" s="4"/>
      <c r="E31" s="4"/>
      <c r="F31" s="4"/>
      <c r="G31" s="4"/>
      <c r="H31" s="4"/>
      <c r="I31" s="4"/>
      <c r="J31" s="16"/>
      <c r="K31" s="16"/>
      <c r="L31" s="4"/>
      <c r="M31" s="2" t="str">
        <f t="shared" ca="1" si="0"/>
        <v/>
      </c>
      <c r="N31" s="4"/>
      <c r="O31" s="4"/>
    </row>
    <row r="32" spans="2:15" ht="14.4" x14ac:dyDescent="0.3">
      <c r="B32" s="4"/>
      <c r="C32" s="16"/>
      <c r="D32" s="4"/>
      <c r="E32" s="4"/>
      <c r="F32" s="4"/>
      <c r="G32" s="4"/>
      <c r="H32" s="4"/>
      <c r="I32" s="4"/>
      <c r="J32" s="16"/>
      <c r="K32" s="16"/>
      <c r="L32" s="4"/>
      <c r="M32" s="2" t="str">
        <f t="shared" ca="1" si="0"/>
        <v/>
      </c>
      <c r="N32" s="4"/>
      <c r="O32" s="4"/>
    </row>
    <row r="33" spans="2:15" ht="14.4" x14ac:dyDescent="0.3">
      <c r="B33" s="4"/>
      <c r="C33" s="16"/>
      <c r="D33" s="4"/>
      <c r="E33" s="4"/>
      <c r="F33" s="4"/>
      <c r="G33" s="4"/>
      <c r="H33" s="4"/>
      <c r="I33" s="4"/>
      <c r="J33" s="16"/>
      <c r="K33" s="16"/>
      <c r="L33" s="4"/>
      <c r="M33" s="2" t="str">
        <f t="shared" ca="1" si="0"/>
        <v/>
      </c>
      <c r="N33" s="4"/>
      <c r="O33" s="4"/>
    </row>
    <row r="34" spans="2:15" ht="14.4" x14ac:dyDescent="0.3">
      <c r="B34" s="4"/>
      <c r="C34" s="16"/>
      <c r="D34" s="4"/>
      <c r="E34" s="4"/>
      <c r="F34" s="4"/>
      <c r="G34" s="4"/>
      <c r="H34" s="4"/>
      <c r="I34" s="4"/>
      <c r="J34" s="16"/>
      <c r="K34" s="16"/>
      <c r="L34" s="4"/>
      <c r="M34" s="2" t="str">
        <f t="shared" ca="1" si="0"/>
        <v/>
      </c>
      <c r="N34" s="4"/>
      <c r="O34" s="4"/>
    </row>
    <row r="35" spans="2:15" ht="14.4" x14ac:dyDescent="0.3">
      <c r="B35" s="4"/>
      <c r="C35" s="16"/>
      <c r="D35" s="4"/>
      <c r="E35" s="4"/>
      <c r="F35" s="4"/>
      <c r="G35" s="4"/>
      <c r="H35" s="4"/>
      <c r="I35" s="4"/>
      <c r="J35" s="16"/>
      <c r="K35" s="16"/>
      <c r="L35" s="4"/>
      <c r="M35" s="2" t="str">
        <f t="shared" ca="1" si="0"/>
        <v/>
      </c>
      <c r="N35" s="4"/>
      <c r="O35" s="4"/>
    </row>
    <row r="36" spans="2:15" ht="14.4" x14ac:dyDescent="0.3">
      <c r="B36" s="4"/>
      <c r="C36" s="16"/>
      <c r="D36" s="4"/>
      <c r="E36" s="4"/>
      <c r="F36" s="4"/>
      <c r="G36" s="4"/>
      <c r="H36" s="4"/>
      <c r="I36" s="4"/>
      <c r="J36" s="16"/>
      <c r="K36" s="16"/>
      <c r="L36" s="4"/>
      <c r="M36" s="2" t="str">
        <f t="shared" ca="1" si="0"/>
        <v/>
      </c>
      <c r="N36" s="4"/>
      <c r="O36" s="4"/>
    </row>
    <row r="37" spans="2:15" ht="14.4" x14ac:dyDescent="0.3">
      <c r="B37" s="4"/>
      <c r="C37" s="16"/>
      <c r="D37" s="4"/>
      <c r="E37" s="4"/>
      <c r="F37" s="4"/>
      <c r="G37" s="4"/>
      <c r="H37" s="4"/>
      <c r="I37" s="4"/>
      <c r="J37" s="16"/>
      <c r="K37" s="16"/>
      <c r="L37" s="4"/>
      <c r="M37" s="2" t="str">
        <f t="shared" ref="M37:M68" ca="1" si="1">IF(C37="","",IF(L37="Closed",IF(K37="",0,K37-C37),TODAY()-C37))</f>
        <v/>
      </c>
      <c r="N37" s="4"/>
      <c r="O37" s="4"/>
    </row>
    <row r="38" spans="2:15" ht="14.4" x14ac:dyDescent="0.3">
      <c r="B38" s="4"/>
      <c r="C38" s="16"/>
      <c r="D38" s="4"/>
      <c r="E38" s="4"/>
      <c r="F38" s="4"/>
      <c r="G38" s="4"/>
      <c r="H38" s="4"/>
      <c r="I38" s="4"/>
      <c r="J38" s="16"/>
      <c r="K38" s="16"/>
      <c r="L38" s="4"/>
      <c r="M38" s="2" t="str">
        <f t="shared" ca="1" si="1"/>
        <v/>
      </c>
      <c r="N38" s="4"/>
      <c r="O38" s="4"/>
    </row>
    <row r="39" spans="2:15" ht="14.4" x14ac:dyDescent="0.3">
      <c r="B39" s="4"/>
      <c r="C39" s="16"/>
      <c r="D39" s="4"/>
      <c r="E39" s="4"/>
      <c r="F39" s="4"/>
      <c r="G39" s="4"/>
      <c r="H39" s="4"/>
      <c r="I39" s="4"/>
      <c r="J39" s="16"/>
      <c r="K39" s="16"/>
      <c r="L39" s="4"/>
      <c r="M39" s="2" t="str">
        <f t="shared" ca="1" si="1"/>
        <v/>
      </c>
      <c r="N39" s="4"/>
      <c r="O39" s="4"/>
    </row>
    <row r="40" spans="2:15" ht="14.4" x14ac:dyDescent="0.3">
      <c r="B40" s="4"/>
      <c r="C40" s="16"/>
      <c r="D40" s="4"/>
      <c r="E40" s="4"/>
      <c r="F40" s="4"/>
      <c r="G40" s="4"/>
      <c r="H40" s="4"/>
      <c r="I40" s="4"/>
      <c r="J40" s="16"/>
      <c r="K40" s="16"/>
      <c r="L40" s="4"/>
      <c r="M40" s="2" t="str">
        <f t="shared" ca="1" si="1"/>
        <v/>
      </c>
      <c r="N40" s="4"/>
      <c r="O40" s="4"/>
    </row>
    <row r="41" spans="2:15" ht="14.4" x14ac:dyDescent="0.3">
      <c r="B41" s="4"/>
      <c r="C41" s="16"/>
      <c r="D41" s="4"/>
      <c r="E41" s="4"/>
      <c r="F41" s="4"/>
      <c r="G41" s="4"/>
      <c r="H41" s="4"/>
      <c r="I41" s="4"/>
      <c r="J41" s="16"/>
      <c r="K41" s="16"/>
      <c r="L41" s="4"/>
      <c r="M41" s="2" t="str">
        <f t="shared" ca="1" si="1"/>
        <v/>
      </c>
      <c r="N41" s="4"/>
      <c r="O41" s="4"/>
    </row>
    <row r="42" spans="2:15" ht="14.4" x14ac:dyDescent="0.3">
      <c r="B42" s="4"/>
      <c r="C42" s="16"/>
      <c r="D42" s="4"/>
      <c r="E42" s="4"/>
      <c r="F42" s="4"/>
      <c r="G42" s="4"/>
      <c r="H42" s="4"/>
      <c r="I42" s="4"/>
      <c r="J42" s="16"/>
      <c r="K42" s="16"/>
      <c r="L42" s="4"/>
      <c r="M42" s="2" t="str">
        <f t="shared" ca="1" si="1"/>
        <v/>
      </c>
      <c r="N42" s="4"/>
      <c r="O42" s="4"/>
    </row>
    <row r="43" spans="2:15" ht="14.4" x14ac:dyDescent="0.3">
      <c r="B43" s="4"/>
      <c r="C43" s="16"/>
      <c r="D43" s="4"/>
      <c r="E43" s="4"/>
      <c r="F43" s="4"/>
      <c r="G43" s="4"/>
      <c r="H43" s="4"/>
      <c r="I43" s="4"/>
      <c r="J43" s="16"/>
      <c r="K43" s="16"/>
      <c r="L43" s="4"/>
      <c r="M43" s="2" t="str">
        <f t="shared" ca="1" si="1"/>
        <v/>
      </c>
      <c r="N43" s="4"/>
      <c r="O43" s="4"/>
    </row>
    <row r="44" spans="2:15" ht="14.4" x14ac:dyDescent="0.3">
      <c r="B44" s="4"/>
      <c r="C44" s="16"/>
      <c r="D44" s="4"/>
      <c r="E44" s="4"/>
      <c r="F44" s="4"/>
      <c r="G44" s="4"/>
      <c r="H44" s="4"/>
      <c r="I44" s="4"/>
      <c r="J44" s="16"/>
      <c r="K44" s="16"/>
      <c r="L44" s="4"/>
      <c r="M44" s="2" t="str">
        <f t="shared" ca="1" si="1"/>
        <v/>
      </c>
      <c r="N44" s="4"/>
      <c r="O44" s="4"/>
    </row>
    <row r="45" spans="2:15" ht="14.4" x14ac:dyDescent="0.3">
      <c r="B45" s="4"/>
      <c r="C45" s="16"/>
      <c r="D45" s="4"/>
      <c r="E45" s="4"/>
      <c r="F45" s="4"/>
      <c r="G45" s="4"/>
      <c r="H45" s="4"/>
      <c r="I45" s="4"/>
      <c r="J45" s="16"/>
      <c r="K45" s="16"/>
      <c r="L45" s="4"/>
      <c r="M45" s="2" t="str">
        <f t="shared" ca="1" si="1"/>
        <v/>
      </c>
      <c r="N45" s="4"/>
      <c r="O45" s="4"/>
    </row>
    <row r="46" spans="2:15" ht="14.4" x14ac:dyDescent="0.3">
      <c r="B46" s="4"/>
      <c r="C46" s="16"/>
      <c r="D46" s="4"/>
      <c r="E46" s="4"/>
      <c r="F46" s="4"/>
      <c r="G46" s="4"/>
      <c r="H46" s="4"/>
      <c r="I46" s="4"/>
      <c r="J46" s="16"/>
      <c r="K46" s="16"/>
      <c r="L46" s="4"/>
      <c r="M46" s="2" t="str">
        <f t="shared" ca="1" si="1"/>
        <v/>
      </c>
      <c r="N46" s="4"/>
      <c r="O46" s="4"/>
    </row>
    <row r="47" spans="2:15" ht="14.4" x14ac:dyDescent="0.3">
      <c r="B47" s="4"/>
      <c r="C47" s="16"/>
      <c r="D47" s="4"/>
      <c r="E47" s="4"/>
      <c r="F47" s="4"/>
      <c r="G47" s="4"/>
      <c r="H47" s="4"/>
      <c r="I47" s="4"/>
      <c r="J47" s="16"/>
      <c r="K47" s="16"/>
      <c r="L47" s="4"/>
      <c r="M47" s="2" t="str">
        <f t="shared" ca="1" si="1"/>
        <v/>
      </c>
      <c r="N47" s="4"/>
      <c r="O47" s="4"/>
    </row>
    <row r="48" spans="2:15" ht="14.4" x14ac:dyDescent="0.3">
      <c r="B48" s="4"/>
      <c r="C48" s="16"/>
      <c r="D48" s="4"/>
      <c r="E48" s="4"/>
      <c r="F48" s="4"/>
      <c r="G48" s="4"/>
      <c r="H48" s="4"/>
      <c r="I48" s="4"/>
      <c r="J48" s="16"/>
      <c r="K48" s="16"/>
      <c r="L48" s="4"/>
      <c r="M48" s="2" t="str">
        <f t="shared" ca="1" si="1"/>
        <v/>
      </c>
      <c r="N48" s="4"/>
      <c r="O48" s="4"/>
    </row>
    <row r="49" spans="2:15" ht="14.4" x14ac:dyDescent="0.3">
      <c r="B49" s="4"/>
      <c r="C49" s="16"/>
      <c r="D49" s="4"/>
      <c r="E49" s="4"/>
      <c r="F49" s="4"/>
      <c r="G49" s="4"/>
      <c r="H49" s="4"/>
      <c r="I49" s="4"/>
      <c r="J49" s="16"/>
      <c r="K49" s="16"/>
      <c r="L49" s="4"/>
      <c r="M49" s="2" t="str">
        <f t="shared" ca="1" si="1"/>
        <v/>
      </c>
      <c r="N49" s="4"/>
      <c r="O49" s="4"/>
    </row>
    <row r="50" spans="2:15" ht="14.4" x14ac:dyDescent="0.3">
      <c r="B50" s="4"/>
      <c r="C50" s="16"/>
      <c r="D50" s="4"/>
      <c r="E50" s="4"/>
      <c r="F50" s="4"/>
      <c r="G50" s="4"/>
      <c r="H50" s="4"/>
      <c r="I50" s="4"/>
      <c r="J50" s="16"/>
      <c r="K50" s="16"/>
      <c r="L50" s="4"/>
      <c r="M50" s="2" t="str">
        <f t="shared" ca="1" si="1"/>
        <v/>
      </c>
      <c r="N50" s="4"/>
      <c r="O50" s="4"/>
    </row>
    <row r="51" spans="2:15" ht="14.4" x14ac:dyDescent="0.3">
      <c r="B51" s="4"/>
      <c r="C51" s="16"/>
      <c r="D51" s="4"/>
      <c r="E51" s="4"/>
      <c r="F51" s="4"/>
      <c r="G51" s="4"/>
      <c r="H51" s="4"/>
      <c r="I51" s="4"/>
      <c r="J51" s="16"/>
      <c r="K51" s="16"/>
      <c r="L51" s="4"/>
      <c r="M51" s="2" t="str">
        <f t="shared" ca="1" si="1"/>
        <v/>
      </c>
      <c r="N51" s="4"/>
      <c r="O51" s="4"/>
    </row>
    <row r="52" spans="2:15" ht="14.4" x14ac:dyDescent="0.3">
      <c r="B52" s="4"/>
      <c r="C52" s="16"/>
      <c r="D52" s="4"/>
      <c r="E52" s="4"/>
      <c r="F52" s="4"/>
      <c r="G52" s="4"/>
      <c r="H52" s="4"/>
      <c r="I52" s="4"/>
      <c r="J52" s="16"/>
      <c r="K52" s="16"/>
      <c r="L52" s="4"/>
      <c r="M52" s="2" t="str">
        <f t="shared" ca="1" si="1"/>
        <v/>
      </c>
      <c r="N52" s="4"/>
      <c r="O52" s="4"/>
    </row>
    <row r="53" spans="2:15" ht="14.4" x14ac:dyDescent="0.3">
      <c r="B53" s="4"/>
      <c r="C53" s="16"/>
      <c r="D53" s="4"/>
      <c r="E53" s="4"/>
      <c r="F53" s="4"/>
      <c r="G53" s="4"/>
      <c r="H53" s="4"/>
      <c r="I53" s="4"/>
      <c r="J53" s="16"/>
      <c r="K53" s="16"/>
      <c r="L53" s="4"/>
      <c r="M53" s="2" t="str">
        <f t="shared" ca="1" si="1"/>
        <v/>
      </c>
      <c r="N53" s="4"/>
      <c r="O53" s="4"/>
    </row>
    <row r="54" spans="2:15" ht="14.4" x14ac:dyDescent="0.3">
      <c r="B54" s="4"/>
      <c r="C54" s="16"/>
      <c r="D54" s="4"/>
      <c r="E54" s="4"/>
      <c r="F54" s="4"/>
      <c r="G54" s="4"/>
      <c r="H54" s="4"/>
      <c r="I54" s="4"/>
      <c r="J54" s="16"/>
      <c r="K54" s="16"/>
      <c r="L54" s="4"/>
      <c r="M54" s="2" t="str">
        <f t="shared" ca="1" si="1"/>
        <v/>
      </c>
      <c r="N54" s="4"/>
      <c r="O54" s="4"/>
    </row>
    <row r="55" spans="2:15" ht="14.4" x14ac:dyDescent="0.3">
      <c r="B55" s="4"/>
      <c r="C55" s="16"/>
      <c r="D55" s="4"/>
      <c r="E55" s="4"/>
      <c r="F55" s="4"/>
      <c r="G55" s="4"/>
      <c r="H55" s="4"/>
      <c r="I55" s="4"/>
      <c r="J55" s="16"/>
      <c r="K55" s="16"/>
      <c r="L55" s="4"/>
      <c r="M55" s="2" t="str">
        <f t="shared" ca="1" si="1"/>
        <v/>
      </c>
      <c r="N55" s="4"/>
      <c r="O55" s="4"/>
    </row>
    <row r="56" spans="2:15" ht="14.4" x14ac:dyDescent="0.3">
      <c r="B56" s="4"/>
      <c r="C56" s="16"/>
      <c r="D56" s="4"/>
      <c r="E56" s="4"/>
      <c r="F56" s="4"/>
      <c r="G56" s="4"/>
      <c r="H56" s="4"/>
      <c r="I56" s="4"/>
      <c r="J56" s="16"/>
      <c r="K56" s="16"/>
      <c r="L56" s="4"/>
      <c r="M56" s="2" t="str">
        <f t="shared" ca="1" si="1"/>
        <v/>
      </c>
      <c r="N56" s="4"/>
      <c r="O56" s="4"/>
    </row>
    <row r="57" spans="2:15" ht="14.4" x14ac:dyDescent="0.3">
      <c r="B57" s="4"/>
      <c r="C57" s="16"/>
      <c r="D57" s="4"/>
      <c r="E57" s="4"/>
      <c r="F57" s="4"/>
      <c r="G57" s="4"/>
      <c r="H57" s="4"/>
      <c r="I57" s="4"/>
      <c r="J57" s="16"/>
      <c r="K57" s="16"/>
      <c r="L57" s="4"/>
      <c r="M57" s="2" t="str">
        <f t="shared" ca="1" si="1"/>
        <v/>
      </c>
      <c r="N57" s="4"/>
      <c r="O57" s="4"/>
    </row>
    <row r="58" spans="2:15" ht="14.4" x14ac:dyDescent="0.3">
      <c r="B58" s="4"/>
      <c r="C58" s="16"/>
      <c r="D58" s="4"/>
      <c r="E58" s="4"/>
      <c r="F58" s="4"/>
      <c r="G58" s="4"/>
      <c r="H58" s="4"/>
      <c r="I58" s="4"/>
      <c r="J58" s="16"/>
      <c r="K58" s="16"/>
      <c r="L58" s="4"/>
      <c r="M58" s="2" t="str">
        <f t="shared" ca="1" si="1"/>
        <v/>
      </c>
      <c r="N58" s="4"/>
      <c r="O58" s="4"/>
    </row>
    <row r="59" spans="2:15" ht="14.4" x14ac:dyDescent="0.3">
      <c r="B59" s="4"/>
      <c r="C59" s="16"/>
      <c r="D59" s="4"/>
      <c r="E59" s="4"/>
      <c r="F59" s="4"/>
      <c r="G59" s="4"/>
      <c r="H59" s="4"/>
      <c r="I59" s="4"/>
      <c r="J59" s="16"/>
      <c r="K59" s="16"/>
      <c r="L59" s="4"/>
      <c r="M59" s="2" t="str">
        <f t="shared" ca="1" si="1"/>
        <v/>
      </c>
      <c r="N59" s="4"/>
      <c r="O59" s="4"/>
    </row>
    <row r="60" spans="2:15" ht="14.4" x14ac:dyDescent="0.3">
      <c r="B60" s="4"/>
      <c r="C60" s="16"/>
      <c r="D60" s="4"/>
      <c r="E60" s="4"/>
      <c r="F60" s="4"/>
      <c r="G60" s="4"/>
      <c r="H60" s="4"/>
      <c r="I60" s="4"/>
      <c r="J60" s="16"/>
      <c r="K60" s="16"/>
      <c r="L60" s="4"/>
      <c r="M60" s="2" t="str">
        <f t="shared" ca="1" si="1"/>
        <v/>
      </c>
      <c r="N60" s="4"/>
      <c r="O60" s="4"/>
    </row>
    <row r="61" spans="2:15" ht="14.4" x14ac:dyDescent="0.3">
      <c r="B61" s="4"/>
      <c r="C61" s="16"/>
      <c r="D61" s="4"/>
      <c r="E61" s="4"/>
      <c r="F61" s="4"/>
      <c r="G61" s="4"/>
      <c r="H61" s="4"/>
      <c r="I61" s="4"/>
      <c r="J61" s="16"/>
      <c r="K61" s="16"/>
      <c r="L61" s="4"/>
      <c r="M61" s="2" t="str">
        <f t="shared" ca="1" si="1"/>
        <v/>
      </c>
      <c r="N61" s="4"/>
      <c r="O61" s="4"/>
    </row>
    <row r="62" spans="2:15" ht="14.4" x14ac:dyDescent="0.3">
      <c r="B62" s="4"/>
      <c r="C62" s="16"/>
      <c r="D62" s="4"/>
      <c r="E62" s="4"/>
      <c r="F62" s="4"/>
      <c r="G62" s="4"/>
      <c r="H62" s="4"/>
      <c r="I62" s="4"/>
      <c r="J62" s="16"/>
      <c r="K62" s="16"/>
      <c r="L62" s="4"/>
      <c r="M62" s="2" t="str">
        <f t="shared" ca="1" si="1"/>
        <v/>
      </c>
      <c r="N62" s="4"/>
      <c r="O62" s="4"/>
    </row>
    <row r="63" spans="2:15" ht="14.4" x14ac:dyDescent="0.3">
      <c r="B63" s="4"/>
      <c r="C63" s="16"/>
      <c r="D63" s="4"/>
      <c r="E63" s="4"/>
      <c r="F63" s="4"/>
      <c r="G63" s="4"/>
      <c r="H63" s="4"/>
      <c r="I63" s="4"/>
      <c r="J63" s="16"/>
      <c r="K63" s="16"/>
      <c r="L63" s="4"/>
      <c r="M63" s="2" t="str">
        <f t="shared" ca="1" si="1"/>
        <v/>
      </c>
      <c r="N63" s="4"/>
      <c r="O63" s="4"/>
    </row>
    <row r="64" spans="2:15" ht="14.4" x14ac:dyDescent="0.3">
      <c r="B64" s="4"/>
      <c r="C64" s="16"/>
      <c r="D64" s="4"/>
      <c r="E64" s="4"/>
      <c r="F64" s="4"/>
      <c r="G64" s="4"/>
      <c r="H64" s="4"/>
      <c r="I64" s="4"/>
      <c r="J64" s="16"/>
      <c r="K64" s="16"/>
      <c r="L64" s="4"/>
      <c r="M64" s="2" t="str">
        <f t="shared" ca="1" si="1"/>
        <v/>
      </c>
      <c r="N64" s="4"/>
      <c r="O64" s="4"/>
    </row>
    <row r="65" spans="2:15" ht="14.4" x14ac:dyDescent="0.3">
      <c r="B65" s="4"/>
      <c r="C65" s="16"/>
      <c r="D65" s="4"/>
      <c r="E65" s="4"/>
      <c r="F65" s="4"/>
      <c r="G65" s="4"/>
      <c r="H65" s="4"/>
      <c r="I65" s="4"/>
      <c r="J65" s="16"/>
      <c r="K65" s="16"/>
      <c r="L65" s="4"/>
      <c r="M65" s="2" t="str">
        <f t="shared" ca="1" si="1"/>
        <v/>
      </c>
      <c r="N65" s="4"/>
      <c r="O65" s="4"/>
    </row>
    <row r="66" spans="2:15" ht="14.4" x14ac:dyDescent="0.3">
      <c r="B66" s="4"/>
      <c r="C66" s="16"/>
      <c r="D66" s="4"/>
      <c r="E66" s="4"/>
      <c r="F66" s="4"/>
      <c r="G66" s="4"/>
      <c r="H66" s="4"/>
      <c r="I66" s="4"/>
      <c r="J66" s="16"/>
      <c r="K66" s="16"/>
      <c r="L66" s="4"/>
      <c r="M66" s="2" t="str">
        <f t="shared" ca="1" si="1"/>
        <v/>
      </c>
      <c r="N66" s="4"/>
      <c r="O66" s="4"/>
    </row>
    <row r="67" spans="2:15" ht="14.4" x14ac:dyDescent="0.3">
      <c r="B67" s="4"/>
      <c r="C67" s="16"/>
      <c r="D67" s="4"/>
      <c r="E67" s="4"/>
      <c r="F67" s="4"/>
      <c r="G67" s="4"/>
      <c r="H67" s="4"/>
      <c r="I67" s="4"/>
      <c r="J67" s="16"/>
      <c r="K67" s="16"/>
      <c r="L67" s="4"/>
      <c r="M67" s="2" t="str">
        <f t="shared" ca="1" si="1"/>
        <v/>
      </c>
      <c r="N67" s="4"/>
      <c r="O67" s="4"/>
    </row>
    <row r="68" spans="2:15" ht="14.4" x14ac:dyDescent="0.3">
      <c r="B68" s="4"/>
      <c r="C68" s="16"/>
      <c r="D68" s="4"/>
      <c r="E68" s="4"/>
      <c r="F68" s="4"/>
      <c r="G68" s="4"/>
      <c r="H68" s="4"/>
      <c r="I68" s="4"/>
      <c r="J68" s="16"/>
      <c r="K68" s="16"/>
      <c r="L68" s="4"/>
      <c r="M68" s="2" t="str">
        <f t="shared" ca="1" si="1"/>
        <v/>
      </c>
      <c r="N68" s="4"/>
      <c r="O68" s="4"/>
    </row>
    <row r="69" spans="2:15" ht="14.4" x14ac:dyDescent="0.3">
      <c r="B69" s="4"/>
      <c r="C69" s="16"/>
      <c r="D69" s="4"/>
      <c r="E69" s="4"/>
      <c r="F69" s="4"/>
      <c r="G69" s="4"/>
      <c r="H69" s="4"/>
      <c r="I69" s="4"/>
      <c r="J69" s="16"/>
      <c r="K69" s="16"/>
      <c r="L69" s="4"/>
      <c r="M69" s="2" t="str">
        <f t="shared" ref="M69:M79" ca="1" si="2">IF(C69="","",IF(L69="Closed",IF(K69="",0,K69-C69),TODAY()-C69))</f>
        <v/>
      </c>
      <c r="N69" s="4"/>
      <c r="O69" s="4"/>
    </row>
    <row r="70" spans="2:15" ht="14.4" x14ac:dyDescent="0.3">
      <c r="B70" s="4"/>
      <c r="C70" s="16"/>
      <c r="D70" s="4"/>
      <c r="E70" s="4"/>
      <c r="F70" s="4"/>
      <c r="G70" s="4"/>
      <c r="H70" s="4"/>
      <c r="I70" s="4"/>
      <c r="J70" s="16"/>
      <c r="K70" s="16"/>
      <c r="L70" s="4"/>
      <c r="M70" s="2" t="str">
        <f t="shared" ca="1" si="2"/>
        <v/>
      </c>
      <c r="N70" s="4"/>
      <c r="O70" s="4"/>
    </row>
    <row r="71" spans="2:15" ht="14.4" x14ac:dyDescent="0.3">
      <c r="B71" s="4"/>
      <c r="C71" s="16"/>
      <c r="D71" s="4"/>
      <c r="E71" s="4"/>
      <c r="F71" s="4"/>
      <c r="G71" s="4"/>
      <c r="H71" s="4"/>
      <c r="I71" s="4"/>
      <c r="J71" s="16"/>
      <c r="K71" s="16"/>
      <c r="L71" s="4"/>
      <c r="M71" s="2" t="str">
        <f t="shared" ca="1" si="2"/>
        <v/>
      </c>
      <c r="N71" s="4"/>
      <c r="O71" s="4"/>
    </row>
    <row r="72" spans="2:15" ht="14.4" x14ac:dyDescent="0.3">
      <c r="B72" s="4"/>
      <c r="C72" s="16"/>
      <c r="D72" s="4"/>
      <c r="E72" s="4"/>
      <c r="F72" s="4"/>
      <c r="G72" s="4"/>
      <c r="H72" s="4"/>
      <c r="I72" s="4"/>
      <c r="J72" s="16"/>
      <c r="K72" s="16"/>
      <c r="L72" s="4"/>
      <c r="M72" s="2" t="str">
        <f t="shared" ca="1" si="2"/>
        <v/>
      </c>
      <c r="N72" s="4"/>
      <c r="O72" s="4"/>
    </row>
    <row r="73" spans="2:15" ht="14.4" x14ac:dyDescent="0.3">
      <c r="B73" s="4"/>
      <c r="C73" s="16"/>
      <c r="D73" s="4"/>
      <c r="E73" s="4"/>
      <c r="F73" s="4"/>
      <c r="G73" s="4"/>
      <c r="H73" s="4"/>
      <c r="I73" s="4"/>
      <c r="J73" s="16"/>
      <c r="K73" s="16"/>
      <c r="L73" s="4"/>
      <c r="M73" s="2" t="str">
        <f t="shared" ca="1" si="2"/>
        <v/>
      </c>
      <c r="N73" s="4"/>
      <c r="O73" s="4"/>
    </row>
    <row r="74" spans="2:15" ht="14.4" x14ac:dyDescent="0.3">
      <c r="B74" s="4"/>
      <c r="C74" s="16"/>
      <c r="D74" s="4"/>
      <c r="E74" s="4"/>
      <c r="F74" s="4"/>
      <c r="G74" s="4"/>
      <c r="H74" s="4"/>
      <c r="I74" s="4"/>
      <c r="J74" s="16"/>
      <c r="K74" s="16"/>
      <c r="L74" s="4"/>
      <c r="M74" s="2" t="str">
        <f t="shared" ca="1" si="2"/>
        <v/>
      </c>
      <c r="N74" s="4"/>
      <c r="O74" s="4"/>
    </row>
    <row r="75" spans="2:15" ht="14.4" x14ac:dyDescent="0.3">
      <c r="B75" s="4"/>
      <c r="C75" s="16"/>
      <c r="D75" s="4"/>
      <c r="E75" s="4"/>
      <c r="F75" s="4"/>
      <c r="G75" s="4"/>
      <c r="H75" s="4"/>
      <c r="I75" s="4"/>
      <c r="J75" s="16"/>
      <c r="K75" s="16"/>
      <c r="L75" s="4"/>
      <c r="M75" s="2" t="str">
        <f t="shared" ca="1" si="2"/>
        <v/>
      </c>
      <c r="N75" s="4"/>
      <c r="O75" s="4"/>
    </row>
    <row r="76" spans="2:15" ht="14.4" x14ac:dyDescent="0.3">
      <c r="B76" s="4"/>
      <c r="C76" s="16"/>
      <c r="D76" s="4"/>
      <c r="E76" s="4"/>
      <c r="F76" s="4"/>
      <c r="G76" s="4"/>
      <c r="H76" s="4"/>
      <c r="I76" s="4"/>
      <c r="J76" s="16"/>
      <c r="K76" s="16"/>
      <c r="L76" s="4"/>
      <c r="M76" s="2" t="str">
        <f t="shared" ca="1" si="2"/>
        <v/>
      </c>
      <c r="N76" s="4"/>
      <c r="O76" s="4"/>
    </row>
    <row r="77" spans="2:15" ht="14.4" x14ac:dyDescent="0.3">
      <c r="B77" s="4"/>
      <c r="C77" s="16"/>
      <c r="D77" s="4"/>
      <c r="E77" s="4"/>
      <c r="F77" s="4"/>
      <c r="G77" s="4"/>
      <c r="H77" s="4"/>
      <c r="I77" s="4"/>
      <c r="J77" s="16"/>
      <c r="K77" s="16"/>
      <c r="L77" s="4"/>
      <c r="M77" s="2" t="str">
        <f t="shared" ca="1" si="2"/>
        <v/>
      </c>
      <c r="N77" s="4"/>
      <c r="O77" s="4"/>
    </row>
    <row r="78" spans="2:15" ht="14.4" x14ac:dyDescent="0.3">
      <c r="B78" s="4"/>
      <c r="C78" s="16"/>
      <c r="D78" s="4"/>
      <c r="E78" s="4"/>
      <c r="F78" s="4"/>
      <c r="G78" s="4"/>
      <c r="H78" s="4"/>
      <c r="I78" s="4"/>
      <c r="J78" s="16"/>
      <c r="K78" s="16"/>
      <c r="L78" s="4"/>
      <c r="M78" s="2" t="str">
        <f t="shared" ca="1" si="2"/>
        <v/>
      </c>
      <c r="N78" s="4"/>
      <c r="O78" s="4"/>
    </row>
    <row r="79" spans="2:15" ht="14.4" x14ac:dyDescent="0.3">
      <c r="B79" s="4"/>
      <c r="C79" s="16"/>
      <c r="D79" s="4"/>
      <c r="E79" s="4"/>
      <c r="F79" s="4"/>
      <c r="G79" s="4"/>
      <c r="H79" s="4"/>
      <c r="I79" s="4"/>
      <c r="J79" s="16"/>
      <c r="K79" s="16"/>
      <c r="L79" s="4"/>
      <c r="M79" s="2" t="str">
        <f t="shared" ca="1" si="2"/>
        <v/>
      </c>
      <c r="N79" s="4"/>
      <c r="O79" s="4"/>
    </row>
  </sheetData>
  <mergeCells count="2">
    <mergeCell ref="A1:O1"/>
    <mergeCell ref="A2:O2"/>
  </mergeCells>
  <conditionalFormatting sqref="L5:L80">
    <cfRule type="expression" dxfId="10" priority="1">
      <formula>$L5="Open"</formula>
    </cfRule>
  </conditionalFormatting>
  <pageMargins left="0.75" right="0.75" top="1" bottom="1" header="0.5" footer="0.5"/>
  <pageSetup paperSize="9" fitToHeight="0" orientation="landscape"/>
  <headerFooter>
    <oddHeader>&amp;LKAZ PP Expansion | EHS</oddHeader>
    <oddFooter>&amp;RConfidential | 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700-000000000000}">
          <x14:formula1>
            <xm:f>Lookups!$C$5:$C$8</xm:f>
          </x14:formula1>
          <xm:sqref>L5:L80</xm:sqref>
        </x14:dataValidation>
        <x14:dataValidation type="list" allowBlank="1" xr:uid="{00000000-0002-0000-0700-000001000000}">
          <x14:formula1>
            <xm:f>Lookups!$E$5:$E$12</xm:f>
          </x14:formula1>
          <xm:sqref>D5:D80</xm:sqref>
        </x14:dataValidation>
        <x14:dataValidation type="list" allowBlank="1" xr:uid="{00000000-0002-0000-0700-000002000000}">
          <x14:formula1>
            <xm:f>Lookups!$D$5:$D$8</xm:f>
          </x14:formula1>
          <xm:sqref>I5:I80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27AE60"/>
    <pageSetUpPr fitToPage="1"/>
  </sheetPr>
  <dimension ref="A1:N33"/>
  <sheetViews>
    <sheetView showGridLines="0" workbookViewId="0">
      <pane ySplit="4" topLeftCell="A5" activePane="bottomLeft" state="frozen"/>
      <selection pane="bottomLeft"/>
    </sheetView>
  </sheetViews>
  <sheetFormatPr defaultRowHeight="13.8" x14ac:dyDescent="0.25"/>
  <cols>
    <col min="1" max="1" width="5" customWidth="1"/>
    <col min="2" max="2" width="32" customWidth="1"/>
    <col min="3" max="3" width="14" customWidth="1"/>
    <col min="4" max="9" width="12" customWidth="1"/>
    <col min="10" max="11" width="14" customWidth="1"/>
    <col min="12" max="12" width="16" customWidth="1"/>
    <col min="13" max="13" width="18" customWidth="1"/>
    <col min="14" max="14" width="22" customWidth="1"/>
  </cols>
  <sheetData>
    <row r="1" spans="1:14" ht="31.95" customHeight="1" x14ac:dyDescent="0.25">
      <c r="A1" s="29" t="s">
        <v>434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4" ht="19.95" customHeight="1" x14ac:dyDescent="0.25">
      <c r="A2" s="34" t="s">
        <v>435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4" spans="1:14" ht="28.8" x14ac:dyDescent="0.25">
      <c r="B4" s="5" t="s">
        <v>292</v>
      </c>
      <c r="C4" s="5" t="s">
        <v>436</v>
      </c>
      <c r="D4" s="5" t="s">
        <v>437</v>
      </c>
      <c r="E4" s="5" t="s">
        <v>438</v>
      </c>
      <c r="F4" s="5" t="s">
        <v>439</v>
      </c>
      <c r="G4" s="5" t="s">
        <v>83</v>
      </c>
      <c r="H4" s="5" t="s">
        <v>82</v>
      </c>
      <c r="I4" s="5" t="s">
        <v>78</v>
      </c>
      <c r="J4" s="5" t="s">
        <v>81</v>
      </c>
      <c r="K4" s="5" t="s">
        <v>440</v>
      </c>
      <c r="L4" s="5" t="s">
        <v>441</v>
      </c>
      <c r="M4" s="5" t="s">
        <v>250</v>
      </c>
      <c r="N4" s="5" t="s">
        <v>442</v>
      </c>
    </row>
    <row r="5" spans="1:14" ht="18" x14ac:dyDescent="0.35">
      <c r="B5" s="2" t="str">
        <f>Lookups!E5</f>
        <v>Team Seisms</v>
      </c>
      <c r="C5" s="2">
        <f>COUNTIFS(Observations!$G$5:$G$250,B5,Observations!$F$5:$F$250,"Open")+COUNTIFS(Observations!$G$5:$G$250,B5,Observations!$F$5:$F$250,"In Progress")</f>
        <v>1</v>
      </c>
      <c r="D5" s="2">
        <f ca="1">COUNTIFS(Observations!$G$5:$G$250,B5,Observations!$O$5:$O$250,"&gt;0")</f>
        <v>1</v>
      </c>
      <c r="E5" s="2">
        <f>COUNTIF(Observations!$G$5:$G$250,B5)</f>
        <v>1</v>
      </c>
      <c r="F5" s="2">
        <f>COUNTIF(NCR!$D$5:$D$80,B5)</f>
        <v>1</v>
      </c>
      <c r="G5" s="2">
        <f>COUNTIFS(Incidents!$G$5:$G$200,B5,Incidents!$M$5:$M$200,"Y")</f>
        <v>0</v>
      </c>
      <c r="H5" s="2" t="str">
        <f ca="1">COUNTIFS(Incidents!$G$5:$G$200,B5,Incidents!$L$5:$L$200,"Y")</f>
        <v/>
      </c>
      <c r="I5" s="2">
        <f>COUNTIFS(Incidents!$G$5:$G$200,B5,Incidents!$E$5:$E$200,"Near Miss")</f>
        <v>1</v>
      </c>
      <c r="J5" s="2">
        <f>COUNTIFS(Incidents!$G$5:$G$200,B5,Incidents!$E$5:$E$200,"First Aid")</f>
        <v>0</v>
      </c>
      <c r="K5" s="2" t="str">
        <f ca="1">C5*Admin!$C$15+D5*Admin!$C$16+F5*Admin!$C$17+G5*Admin!$C$18+H5*Admin!$C$19+I5*Admin!$C$20</f>
        <v/>
      </c>
      <c r="L5" s="21" t="str">
        <f ca="1">MAX(Admin!$C$22,Admin!$C$21+K5)</f>
        <v/>
      </c>
      <c r="M5" s="2" t="str">
        <f ca="1">IF(L5&gt;=Admin!$C$36,"A — Excellent",IF(L5&gt;=Admin!$C$37,"B — Satisfactory",IF(L5&gt;=Admin!$C$38,"C — Needs Improvement","D — Unsatisfactory")))</f>
        <v/>
      </c>
      <c r="N5" s="4"/>
    </row>
    <row r="6" spans="1:14" ht="18" x14ac:dyDescent="0.35">
      <c r="B6" s="2" t="str">
        <f>Lookups!E6</f>
        <v>Team Al-Mayal</v>
      </c>
      <c r="C6" s="2">
        <f>COUNTIFS(Observations!$G$5:$G$250,B6,Observations!$F$5:$F$250,"Open")+COUNTIFS(Observations!$G$5:$G$250,B6,Observations!$F$5:$F$250,"In Progress")</f>
        <v>1</v>
      </c>
      <c r="D6" s="2">
        <f ca="1">COUNTIFS(Observations!$G$5:$G$250,B6,Observations!$O$5:$O$250,"&gt;0")</f>
        <v>1</v>
      </c>
      <c r="E6" s="2">
        <f>COUNTIF(Observations!$G$5:$G$250,B6)</f>
        <v>1</v>
      </c>
      <c r="F6" s="2">
        <f>COUNTIF(NCR!$D$5:$D$80,B6)</f>
        <v>0</v>
      </c>
      <c r="G6" s="2">
        <f>COUNTIFS(Incidents!$G$5:$G$200,B6,Incidents!$M$5:$M$200,"Y")</f>
        <v>0</v>
      </c>
      <c r="H6" s="2" t="str">
        <f ca="1">COUNTIFS(Incidents!$G$5:$G$200,B6,Incidents!$L$5:$L$200,"Y")</f>
        <v/>
      </c>
      <c r="I6" s="2">
        <f>COUNTIFS(Incidents!$G$5:$G$200,B6,Incidents!$E$5:$E$200,"Near Miss")</f>
        <v>0</v>
      </c>
      <c r="J6" s="2">
        <f>COUNTIFS(Incidents!$G$5:$G$200,B6,Incidents!$E$5:$E$200,"First Aid")</f>
        <v>0</v>
      </c>
      <c r="K6" s="2" t="str">
        <f ca="1">C6*Admin!$C$15+D6*Admin!$C$16+F6*Admin!$C$17+G6*Admin!$C$18+H6*Admin!$C$19+I6*Admin!$C$20</f>
        <v/>
      </c>
      <c r="L6" s="21" t="str">
        <f ca="1">MAX(Admin!$C$22,Admin!$C$21+K6)</f>
        <v/>
      </c>
      <c r="M6" s="2" t="str">
        <f ca="1">IF(L6&gt;=Admin!$C$36,"A — Excellent",IF(L6&gt;=Admin!$C$37,"B — Satisfactory",IF(L6&gt;=Admin!$C$38,"C — Needs Improvement","D — Unsatisfactory")))</f>
        <v/>
      </c>
      <c r="N6" s="4"/>
    </row>
    <row r="7" spans="1:14" ht="18" x14ac:dyDescent="0.35">
      <c r="B7" s="2" t="str">
        <f>Lookups!E7</f>
        <v>Civil Subcontractor A</v>
      </c>
      <c r="C7" s="2">
        <f>COUNTIFS(Observations!$G$5:$G$250,B7,Observations!$F$5:$F$250,"Open")+COUNTIFS(Observations!$G$5:$G$250,B7,Observations!$F$5:$F$250,"In Progress")</f>
        <v>0</v>
      </c>
      <c r="D7" s="2">
        <f>COUNTIFS(Observations!$G$5:$G$250,B7,Observations!$O$5:$O$250,"&gt;0")</f>
        <v>0</v>
      </c>
      <c r="E7" s="2">
        <f>COUNTIF(Observations!$G$5:$G$250,B7)</f>
        <v>0</v>
      </c>
      <c r="F7" s="2">
        <f>COUNTIF(NCR!$D$5:$D$80,B7)</f>
        <v>0</v>
      </c>
      <c r="G7" s="2">
        <f>COUNTIFS(Incidents!$G$5:$G$200,B7,Incidents!$M$5:$M$200,"Y")</f>
        <v>0</v>
      </c>
      <c r="H7" s="2">
        <f>COUNTIFS(Incidents!$G$5:$G$200,B7,Incidents!$L$5:$L$200,"Y")</f>
        <v>0</v>
      </c>
      <c r="I7" s="2">
        <f>COUNTIFS(Incidents!$G$5:$G$200,B7,Incidents!$E$5:$E$200,"Near Miss")</f>
        <v>0</v>
      </c>
      <c r="J7" s="2">
        <f>COUNTIFS(Incidents!$G$5:$G$200,B7,Incidents!$E$5:$E$200,"First Aid")</f>
        <v>0</v>
      </c>
      <c r="K7" s="2">
        <f>C7*Admin!$C$15+D7*Admin!$C$16+F7*Admin!$C$17+G7*Admin!$C$18+H7*Admin!$C$19+I7*Admin!$C$20</f>
        <v>0</v>
      </c>
      <c r="L7" s="21">
        <f>MAX(Admin!$C$22,Admin!$C$21+K7)</f>
        <v>100</v>
      </c>
      <c r="M7" s="2" t="str">
        <f>IF(L7&gt;=Admin!$C$36,"A — Excellent",IF(L7&gt;=Admin!$C$37,"B — Satisfactory",IF(L7&gt;=Admin!$C$38,"C — Needs Improvement","D — Unsatisfactory")))</f>
        <v>A — Excellent</v>
      </c>
      <c r="N7" s="4"/>
    </row>
    <row r="8" spans="1:14" ht="18" x14ac:dyDescent="0.35">
      <c r="B8" s="2" t="str">
        <f>Lookups!E8</f>
        <v>Mechanical Subcontractor B</v>
      </c>
      <c r="C8" s="2">
        <f>COUNTIFS(Observations!$G$5:$G$250,B8,Observations!$F$5:$F$250,"Open")+COUNTIFS(Observations!$G$5:$G$250,B8,Observations!$F$5:$F$250,"In Progress")</f>
        <v>1</v>
      </c>
      <c r="D8" s="2">
        <f ca="1">COUNTIFS(Observations!$G$5:$G$250,B8,Observations!$O$5:$O$250,"&gt;0")</f>
        <v>1</v>
      </c>
      <c r="E8" s="2">
        <f>COUNTIF(Observations!$G$5:$G$250,B8)</f>
        <v>1</v>
      </c>
      <c r="F8" s="2">
        <f>COUNTIF(NCR!$D$5:$D$80,B8)</f>
        <v>1</v>
      </c>
      <c r="G8" s="2">
        <f>COUNTIFS(Incidents!$G$5:$G$200,B8,Incidents!$M$5:$M$200,"Y")</f>
        <v>0</v>
      </c>
      <c r="H8" s="2" t="str">
        <f ca="1">COUNTIFS(Incidents!$G$5:$G$200,B8,Incidents!$L$5:$L$200,"Y")</f>
        <v/>
      </c>
      <c r="I8" s="2">
        <f>COUNTIFS(Incidents!$G$5:$G$200,B8,Incidents!$E$5:$E$200,"Near Miss")</f>
        <v>0</v>
      </c>
      <c r="J8" s="2">
        <f>COUNTIFS(Incidents!$G$5:$G$200,B8,Incidents!$E$5:$E$200,"First Aid")</f>
        <v>1</v>
      </c>
      <c r="K8" s="2" t="str">
        <f ca="1">C8*Admin!$C$15+D8*Admin!$C$16+F8*Admin!$C$17+G8*Admin!$C$18+H8*Admin!$C$19+I8*Admin!$C$20</f>
        <v/>
      </c>
      <c r="L8" s="21" t="str">
        <f ca="1">MAX(Admin!$C$22,Admin!$C$21+K8)</f>
        <v/>
      </c>
      <c r="M8" s="2" t="str">
        <f ca="1">IF(L8&gt;=Admin!$C$36,"A — Excellent",IF(L8&gt;=Admin!$C$37,"B — Satisfactory",IF(L8&gt;=Admin!$C$38,"C — Needs Improvement","D — Unsatisfactory")))</f>
        <v/>
      </c>
      <c r="N8" s="4"/>
    </row>
    <row r="9" spans="1:14" ht="18" x14ac:dyDescent="0.35">
      <c r="B9" s="2" t="str">
        <f>Lookups!E9</f>
        <v>Electrical Subcontractor C</v>
      </c>
      <c r="C9" s="2">
        <f>COUNTIFS(Observations!$G$5:$G$250,B9,Observations!$F$5:$F$250,"Open")+COUNTIFS(Observations!$G$5:$G$250,B9,Observations!$F$5:$F$250,"In Progress")</f>
        <v>2</v>
      </c>
      <c r="D9" s="2">
        <f ca="1">COUNTIFS(Observations!$G$5:$G$250,B9,Observations!$O$5:$O$250,"&gt;0")</f>
        <v>2</v>
      </c>
      <c r="E9" s="2">
        <f>COUNTIF(Observations!$G$5:$G$250,B9)</f>
        <v>2</v>
      </c>
      <c r="F9" s="2">
        <f>COUNTIF(NCR!$D$5:$D$80,B9)</f>
        <v>0</v>
      </c>
      <c r="G9" s="2">
        <f>COUNTIFS(Incidents!$G$5:$G$200,B9,Incidents!$M$5:$M$200,"Y")</f>
        <v>0</v>
      </c>
      <c r="H9" s="2">
        <f>COUNTIFS(Incidents!$G$5:$G$200,B9,Incidents!$L$5:$L$200,"Y")</f>
        <v>0</v>
      </c>
      <c r="I9" s="2">
        <f>COUNTIFS(Incidents!$G$5:$G$200,B9,Incidents!$E$5:$E$200,"Near Miss")</f>
        <v>0</v>
      </c>
      <c r="J9" s="2">
        <f>COUNTIFS(Incidents!$G$5:$G$200,B9,Incidents!$E$5:$E$200,"First Aid")</f>
        <v>0</v>
      </c>
      <c r="K9" s="2">
        <f ca="1">C9*Admin!$C$15+D9*Admin!$C$16+F9*Admin!$C$17+G9*Admin!$C$18+H9*Admin!$C$19+I9*Admin!$C$20</f>
        <v>-14</v>
      </c>
      <c r="L9" s="21">
        <f ca="1">MAX(Admin!$C$22,Admin!$C$21+K9)</f>
        <v>86</v>
      </c>
      <c r="M9" s="2" t="str">
        <f ca="1">IF(L9&gt;=Admin!$C$36,"A — Excellent",IF(L9&gt;=Admin!$C$37,"B — Satisfactory",IF(L9&gt;=Admin!$C$38,"C — Needs Improvement","D — Unsatisfactory")))</f>
        <v>B — Satisfactory</v>
      </c>
      <c r="N9" s="4"/>
    </row>
    <row r="10" spans="1:14" ht="18" x14ac:dyDescent="0.35">
      <c r="B10" s="2" t="str">
        <f>Lookups!E10</f>
        <v>Scaffolding Contractor D</v>
      </c>
      <c r="C10" s="2">
        <f>COUNTIFS(Observations!$G$5:$G$250,B10,Observations!$F$5:$F$250,"Open")+COUNTIFS(Observations!$G$5:$G$250,B10,Observations!$F$5:$F$250,"In Progress")</f>
        <v>1</v>
      </c>
      <c r="D10" s="2">
        <f ca="1">COUNTIFS(Observations!$G$5:$G$250,B10,Observations!$O$5:$O$250,"&gt;0")</f>
        <v>1</v>
      </c>
      <c r="E10" s="2">
        <f>COUNTIF(Observations!$G$5:$G$250,B10)</f>
        <v>1</v>
      </c>
      <c r="F10" s="2">
        <f>COUNTIF(NCR!$D$5:$D$80,B10)</f>
        <v>0</v>
      </c>
      <c r="G10" s="2">
        <f>COUNTIFS(Incidents!$G$5:$G$200,B10,Incidents!$M$5:$M$200,"Y")</f>
        <v>0</v>
      </c>
      <c r="H10" s="2" t="str">
        <f ca="1">COUNTIFS(Incidents!$G$5:$G$200,B10,Incidents!$L$5:$L$200,"Y")</f>
        <v/>
      </c>
      <c r="I10" s="2">
        <f>COUNTIFS(Incidents!$G$5:$G$200,B10,Incidents!$E$5:$E$200,"Near Miss")</f>
        <v>0</v>
      </c>
      <c r="J10" s="2">
        <f>COUNTIFS(Incidents!$G$5:$G$200,B10,Incidents!$E$5:$E$200,"First Aid")</f>
        <v>0</v>
      </c>
      <c r="K10" s="2" t="str">
        <f ca="1">C10*Admin!$C$15+D10*Admin!$C$16+F10*Admin!$C$17+G10*Admin!$C$18+H10*Admin!$C$19+I10*Admin!$C$20</f>
        <v/>
      </c>
      <c r="L10" s="21" t="str">
        <f ca="1">MAX(Admin!$C$22,Admin!$C$21+K10)</f>
        <v/>
      </c>
      <c r="M10" s="2" t="str">
        <f ca="1">IF(L10&gt;=Admin!$C$36,"A — Excellent",IF(L10&gt;=Admin!$C$37,"B — Satisfactory",IF(L10&gt;=Admin!$C$38,"C — Needs Improvement","D — Unsatisfactory")))</f>
        <v/>
      </c>
      <c r="N10" s="4"/>
    </row>
    <row r="11" spans="1:14" ht="18" x14ac:dyDescent="0.35">
      <c r="B11" s="2" t="str">
        <f>Lookups!E11</f>
        <v>Lifting Contractor E</v>
      </c>
      <c r="C11" s="2">
        <f>COUNTIFS(Observations!$G$5:$G$250,B11,Observations!$F$5:$F$250,"Open")+COUNTIFS(Observations!$G$5:$G$250,B11,Observations!$F$5:$F$250,"In Progress")</f>
        <v>0</v>
      </c>
      <c r="D11" s="2">
        <f ca="1">COUNTIFS(Observations!$G$5:$G$250,B11,Observations!$O$5:$O$250,"&gt;0")</f>
        <v>0</v>
      </c>
      <c r="E11" s="2">
        <f>COUNTIF(Observations!$G$5:$G$250,B11)</f>
        <v>2</v>
      </c>
      <c r="F11" s="2">
        <f>COUNTIF(NCR!$D$5:$D$80,B11)</f>
        <v>0</v>
      </c>
      <c r="G11" s="2">
        <f>COUNTIFS(Incidents!$G$5:$G$200,B11,Incidents!$M$5:$M$200,"Y")</f>
        <v>0</v>
      </c>
      <c r="H11" s="2">
        <f>COUNTIFS(Incidents!$G$5:$G$200,B11,Incidents!$L$5:$L$200,"Y")</f>
        <v>0</v>
      </c>
      <c r="I11" s="2">
        <f>COUNTIFS(Incidents!$G$5:$G$200,B11,Incidents!$E$5:$E$200,"Near Miss")</f>
        <v>0</v>
      </c>
      <c r="J11" s="2">
        <f>COUNTIFS(Incidents!$G$5:$G$200,B11,Incidents!$E$5:$E$200,"First Aid")</f>
        <v>0</v>
      </c>
      <c r="K11" s="2">
        <f ca="1">C11*Admin!$C$15+D11*Admin!$C$16+F11*Admin!$C$17+G11*Admin!$C$18+H11*Admin!$C$19+I11*Admin!$C$20</f>
        <v>0</v>
      </c>
      <c r="L11" s="21">
        <f ca="1">MAX(Admin!$C$22,Admin!$C$21+K11)</f>
        <v>100</v>
      </c>
      <c r="M11" s="2" t="str">
        <f ca="1">IF(L11&gt;=Admin!$C$36,"A — Excellent",IF(L11&gt;=Admin!$C$37,"B — Satisfactory",IF(L11&gt;=Admin!$C$38,"C — Needs Improvement","D — Unsatisfactory")))</f>
        <v>A — Excellent</v>
      </c>
      <c r="N11" s="4"/>
    </row>
    <row r="12" spans="1:14" ht="18" x14ac:dyDescent="0.35">
      <c r="B12" s="2" t="str">
        <f>Lookups!E12</f>
        <v>Security Contractor F</v>
      </c>
      <c r="C12" s="2">
        <f>COUNTIFS(Observations!$G$5:$G$250,B12,Observations!$F$5:$F$250,"Open")+COUNTIFS(Observations!$G$5:$G$250,B12,Observations!$F$5:$F$250,"In Progress")</f>
        <v>0</v>
      </c>
      <c r="D12" s="2">
        <f>COUNTIFS(Observations!$G$5:$G$250,B12,Observations!$O$5:$O$250,"&gt;0")</f>
        <v>0</v>
      </c>
      <c r="E12" s="2">
        <f>COUNTIF(Observations!$G$5:$G$250,B12)</f>
        <v>0</v>
      </c>
      <c r="F12" s="2">
        <f>COUNTIF(NCR!$D$5:$D$80,B12)</f>
        <v>0</v>
      </c>
      <c r="G12" s="2">
        <f>COUNTIFS(Incidents!$G$5:$G$200,B12,Incidents!$M$5:$M$200,"Y")</f>
        <v>0</v>
      </c>
      <c r="H12" s="2">
        <f>COUNTIFS(Incidents!$G$5:$G$200,B12,Incidents!$L$5:$L$200,"Y")</f>
        <v>0</v>
      </c>
      <c r="I12" s="2">
        <f>COUNTIFS(Incidents!$G$5:$G$200,B12,Incidents!$E$5:$E$200,"Near Miss")</f>
        <v>0</v>
      </c>
      <c r="J12" s="2">
        <f>COUNTIFS(Incidents!$G$5:$G$200,B12,Incidents!$E$5:$E$200,"First Aid")</f>
        <v>0</v>
      </c>
      <c r="K12" s="2">
        <f>C12*Admin!$C$15+D12*Admin!$C$16+F12*Admin!$C$17+G12*Admin!$C$18+H12*Admin!$C$19+I12*Admin!$C$20</f>
        <v>0</v>
      </c>
      <c r="L12" s="21">
        <f>MAX(Admin!$C$22,Admin!$C$21+K12)</f>
        <v>100</v>
      </c>
      <c r="M12" s="2" t="str">
        <f>IF(L12&gt;=Admin!$C$36,"A — Excellent",IF(L12&gt;=Admin!$C$37,"B — Satisfactory",IF(L12&gt;=Admin!$C$38,"C — Needs Improvement","D — Unsatisfactory")))</f>
        <v>A — Excellent</v>
      </c>
      <c r="N12" s="4"/>
    </row>
    <row r="32" spans="2:14" x14ac:dyDescent="0.25">
      <c r="B32" s="51" t="s">
        <v>443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</row>
    <row r="33" spans="2:14" x14ac:dyDescent="0.25"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</row>
  </sheetData>
  <mergeCells count="3">
    <mergeCell ref="A2:N2"/>
    <mergeCell ref="B32:N33"/>
    <mergeCell ref="A1:N1"/>
  </mergeCells>
  <conditionalFormatting sqref="L5:L12">
    <cfRule type="colorScale" priority="1">
      <colorScale>
        <cfvo type="num" val="0"/>
        <cfvo type="num" val="75"/>
        <cfvo type="num" val="100"/>
        <color rgb="FFC0392B"/>
        <color rgb="FFF1C40F"/>
        <color rgb="FF1E8449"/>
      </colorScale>
    </cfRule>
  </conditionalFormatting>
  <conditionalFormatting sqref="M5:M12">
    <cfRule type="expression" dxfId="9" priority="2">
      <formula>LEFT($M5,1)="A"</formula>
    </cfRule>
    <cfRule type="expression" dxfId="8" priority="3">
      <formula>LEFT($M5,1)="D"</formula>
    </cfRule>
  </conditionalFormatting>
  <pageMargins left="0.75" right="0.75" top="1" bottom="1" header="0.5" footer="0.5"/>
  <pageSetup paperSize="9" fitToHeight="0" orientation="landscape"/>
  <headerFooter>
    <oddHeader>&amp;LKAZ PP Expansion | EHS</oddHeader>
    <oddFooter>&amp;RConfidential | Page &amp;P of &amp;N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2980B9"/>
    <pageSetUpPr fitToPage="1"/>
  </sheetPr>
  <dimension ref="A1:H39"/>
  <sheetViews>
    <sheetView showGridLines="0" workbookViewId="0">
      <pane ySplit="4" topLeftCell="A5" activePane="bottomLeft" state="frozen"/>
      <selection pane="bottomLeft"/>
    </sheetView>
  </sheetViews>
  <sheetFormatPr defaultRowHeight="13.8" x14ac:dyDescent="0.25"/>
  <cols>
    <col min="1" max="1" width="4" customWidth="1"/>
    <col min="2" max="2" width="18" customWidth="1"/>
    <col min="3" max="4" width="55" customWidth="1"/>
    <col min="5" max="5" width="40" customWidth="1"/>
    <col min="6" max="6" width="22" customWidth="1"/>
    <col min="7" max="7" width="18" customWidth="1"/>
    <col min="8" max="8" width="16" customWidth="1"/>
  </cols>
  <sheetData>
    <row r="1" spans="1:8" ht="31.95" customHeight="1" x14ac:dyDescent="0.25">
      <c r="A1" s="29" t="s">
        <v>444</v>
      </c>
      <c r="B1" s="25"/>
      <c r="C1" s="25"/>
      <c r="D1" s="25"/>
      <c r="E1" s="25"/>
      <c r="F1" s="25"/>
      <c r="G1" s="25"/>
      <c r="H1" s="25"/>
    </row>
    <row r="2" spans="1:8" ht="19.95" customHeight="1" x14ac:dyDescent="0.25">
      <c r="A2" s="34" t="s">
        <v>445</v>
      </c>
      <c r="B2" s="25"/>
      <c r="C2" s="25"/>
      <c r="D2" s="25"/>
      <c r="E2" s="25"/>
      <c r="F2" s="25"/>
      <c r="G2" s="25"/>
      <c r="H2" s="25"/>
    </row>
    <row r="4" spans="1:8" ht="15.6" x14ac:dyDescent="0.3">
      <c r="B4" s="57" t="s">
        <v>446</v>
      </c>
      <c r="C4" s="25"/>
      <c r="D4" s="25"/>
      <c r="E4" s="25"/>
    </row>
    <row r="5" spans="1:8" x14ac:dyDescent="0.25">
      <c r="B5" s="58" t="s">
        <v>447</v>
      </c>
      <c r="C5" s="25"/>
      <c r="D5" s="25"/>
      <c r="E5" s="25"/>
    </row>
    <row r="6" spans="1:8" x14ac:dyDescent="0.25">
      <c r="B6" s="25"/>
      <c r="C6" s="25"/>
      <c r="D6" s="25"/>
      <c r="E6" s="25"/>
    </row>
    <row r="7" spans="1:8" x14ac:dyDescent="0.25">
      <c r="B7" s="25"/>
      <c r="C7" s="25"/>
      <c r="D7" s="25"/>
      <c r="E7" s="25"/>
    </row>
    <row r="9" spans="1:8" ht="14.4" x14ac:dyDescent="0.25">
      <c r="B9" s="5" t="s">
        <v>448</v>
      </c>
      <c r="C9" s="5" t="s">
        <v>449</v>
      </c>
      <c r="D9" s="5" t="s">
        <v>450</v>
      </c>
      <c r="E9" s="5" t="s">
        <v>451</v>
      </c>
      <c r="F9" s="5" t="s">
        <v>452</v>
      </c>
      <c r="G9" s="5" t="s">
        <v>453</v>
      </c>
      <c r="H9" s="5" t="s">
        <v>454</v>
      </c>
    </row>
    <row r="10" spans="1:8" ht="72" customHeight="1" x14ac:dyDescent="0.3">
      <c r="B10" s="4" t="s">
        <v>455</v>
      </c>
      <c r="C10" s="4" t="s">
        <v>456</v>
      </c>
      <c r="D10" s="22"/>
      <c r="E10" s="22" t="str">
        <f>IF(C10="","","1) CORRECTIVE: Stop work and make the area immediately safe; remove at-risk personnel. "&amp;"2) CONTAINMENT: Barricade, tag-out defective equipment, withdraw PTW if invalid. "&amp;"3) PREVENTIVE: Toolbox talk to the crew within 24h; competency verification; update JSA/lift plan; "&amp;"supervision presence increased for 72h; consider NCR if life-saving rule breached. "&amp;"4) VERIFY: EHS inspection before restart; close observation only with evidence (photo + signature).")</f>
        <v>1) CORRECTIVE: Stop work and make the area immediately safe; remove at-risk personnel. 2) CONTAINMENT: Barricade, tag-out defective equipment, withdraw PTW if invalid. 3) PREVENTIVE: Toolbox talk to the crew within 24h; competency verification; update JSA/lift plan; supervision presence increased for 72h; consider NCR if life-saving rule breached. 4) VERIFY: EHS inspection before restart; close observation only with evidence (photo + signature).</v>
      </c>
      <c r="F10" s="2"/>
      <c r="G10" s="2" t="str">
        <f>IF(C10="","",IF(SUMPRODUCT(--ISNUMBER(SEARCH({"confined","live","11kv","unprotected edge","no harness","no gas"},LOWER(C10))))&gt;0,"Critical",IF(SUMPRODUCT(--ISNUMBER(SEARCH({"scaffold","excav","lift","electrical","ptw"},LOWER(C10))))&gt;0,"High","Medium")))</f>
        <v>Critical</v>
      </c>
      <c r="H10" s="4" t="s">
        <v>457</v>
      </c>
    </row>
    <row r="11" spans="1:8" ht="72" customHeight="1" x14ac:dyDescent="0.3">
      <c r="B11" s="4" t="s">
        <v>458</v>
      </c>
      <c r="C11" s="4" t="s">
        <v>459</v>
      </c>
      <c r="D11" s="22"/>
      <c r="E11" s="22" t="str">
        <f>IF(C11="","","1) CORRECTIVE: Stop work and make the area immediately safe; remove at-risk personnel. "&amp;"2) CONTAINMENT: Barricade, tag-out defective equipment, withdraw PTW if invalid. "&amp;"3) PREVENTIVE: Toolbox talk to the crew within 24h; competency verification; update JSA/lift plan; "&amp;"supervision presence increased for 72h; consider NCR if life-saving rule breached. "&amp;"4) VERIFY: EHS inspection before restart; close observation only with evidence (photo + signature).")</f>
        <v>1) CORRECTIVE: Stop work and make the area immediately safe; remove at-risk personnel. 2) CONTAINMENT: Barricade, tag-out defective equipment, withdraw PTW if invalid. 3) PREVENTIVE: Toolbox talk to the crew within 24h; competency verification; update JSA/lift plan; supervision presence increased for 72h; consider NCR if life-saving rule breached. 4) VERIFY: EHS inspection before restart; close observation only with evidence (photo + signature).</v>
      </c>
      <c r="F11" s="2"/>
      <c r="G11" s="2" t="str">
        <f>IF(C11="","",IF(SUMPRODUCT(--ISNUMBER(SEARCH({"confined","live","11kv","unprotected edge","no harness","no gas"},LOWER(C11))))&gt;0,"Critical",IF(SUMPRODUCT(--ISNUMBER(SEARCH({"scaffold","excav","lift","electrical","ptw"},LOWER(C11))))&gt;0,"High","Medium")))</f>
        <v>Critical</v>
      </c>
      <c r="H11" s="4" t="s">
        <v>457</v>
      </c>
    </row>
    <row r="12" spans="1:8" ht="72" customHeight="1" x14ac:dyDescent="0.3">
      <c r="B12" s="4" t="s">
        <v>460</v>
      </c>
      <c r="C12" s="4" t="s">
        <v>461</v>
      </c>
      <c r="D12" s="22"/>
      <c r="E12" s="22" t="str">
        <f>IF(C12="","","1) CORRECTIVE: Stop work and make the area immediately safe; remove at-risk personnel. "&amp;"2) CONTAINMENT: Barricade, tag-out defective equipment, withdraw PTW if invalid. "&amp;"3) PREVENTIVE: Toolbox talk to the crew within 24h; competency verification; update JSA/lift plan; "&amp;"supervision presence increased for 72h; consider NCR if life-saving rule breached. "&amp;"4) VERIFY: EHS inspection before restart; close observation only with evidence (photo + signature).")</f>
        <v>1) CORRECTIVE: Stop work and make the area immediately safe; remove at-risk personnel. 2) CONTAINMENT: Barricade, tag-out defective equipment, withdraw PTW if invalid. 3) PREVENTIVE: Toolbox talk to the crew within 24h; competency verification; update JSA/lift plan; supervision presence increased for 72h; consider NCR if life-saving rule breached. 4) VERIFY: EHS inspection before restart; close observation only with evidence (photo + signature).</v>
      </c>
      <c r="F12" s="2"/>
      <c r="G12" s="2" t="str">
        <f>IF(C12="","",IF(SUMPRODUCT(--ISNUMBER(SEARCH({"confined","live","11kv","unprotected edge","no harness","no gas"},LOWER(C12))))&gt;0,"Critical",IF(SUMPRODUCT(--ISNUMBER(SEARCH({"scaffold","excav","lift","electrical","ptw"},LOWER(C12))))&gt;0,"High","Medium")))</f>
        <v>High</v>
      </c>
      <c r="H12" s="4" t="s">
        <v>457</v>
      </c>
    </row>
    <row r="13" spans="1:8" ht="72" customHeight="1" x14ac:dyDescent="0.3">
      <c r="B13" s="4" t="s">
        <v>462</v>
      </c>
      <c r="C13" s="4" t="s">
        <v>463</v>
      </c>
      <c r="D13" s="22"/>
      <c r="E13" s="22" t="str">
        <f>IF(C13="","","1) CORRECTIVE: Stop work and make the area immediately safe; remove at-risk personnel. "&amp;"2) CONTAINMENT: Barricade, tag-out defective equipment, withdraw PTW if invalid. "&amp;"3) PREVENTIVE: Toolbox talk to the crew within 24h; competency verification; update JSA/lift plan; "&amp;"supervision presence increased for 72h; consider NCR if life-saving rule breached. "&amp;"4) VERIFY: EHS inspection before restart; close observation only with evidence (photo + signature).")</f>
        <v>1) CORRECTIVE: Stop work and make the area immediately safe; remove at-risk personnel. 2) CONTAINMENT: Barricade, tag-out defective equipment, withdraw PTW if invalid. 3) PREVENTIVE: Toolbox talk to the crew within 24h; competency verification; update JSA/lift plan; supervision presence increased for 72h; consider NCR if life-saving rule breached. 4) VERIFY: EHS inspection before restart; close observation only with evidence (photo + signature).</v>
      </c>
      <c r="F13" s="2"/>
      <c r="G13" s="2" t="str">
        <f>IF(C13="","",IF(SUMPRODUCT(--ISNUMBER(SEARCH({"confined","live","11kv","unprotected edge","no harness","no gas"},LOWER(C13))))&gt;0,"Critical",IF(SUMPRODUCT(--ISNUMBER(SEARCH({"scaffold","excav","lift","electrical","ptw"},LOWER(C13))))&gt;0,"High","Medium")))</f>
        <v>Critical</v>
      </c>
      <c r="H13" s="4" t="s">
        <v>457</v>
      </c>
    </row>
    <row r="14" spans="1:8" ht="72" customHeight="1" x14ac:dyDescent="0.3">
      <c r="B14" s="4" t="s">
        <v>464</v>
      </c>
      <c r="C14" s="4" t="s">
        <v>465</v>
      </c>
      <c r="D14" s="22"/>
      <c r="E14" s="22" t="str">
        <f>IF(C14="","","1) CORRECTIVE: Stop work and make the area immediately safe; remove at-risk personnel. "&amp;"2) CONTAINMENT: Barricade, tag-out defective equipment, withdraw PTW if invalid. "&amp;"3) PREVENTIVE: Toolbox talk to the crew within 24h; competency verification; update JSA/lift plan; "&amp;"supervision presence increased for 72h; consider NCR if life-saving rule breached. "&amp;"4) VERIFY: EHS inspection before restart; close observation only with evidence (photo + signature).")</f>
        <v>1) CORRECTIVE: Stop work and make the area immediately safe; remove at-risk personnel. 2) CONTAINMENT: Barricade, tag-out defective equipment, withdraw PTW if invalid. 3) PREVENTIVE: Toolbox talk to the crew within 24h; competency verification; update JSA/lift plan; supervision presence increased for 72h; consider NCR if life-saving rule breached. 4) VERIFY: EHS inspection before restart; close observation only with evidence (photo + signature).</v>
      </c>
      <c r="F14" s="2"/>
      <c r="G14" s="2" t="str">
        <f>IF(C14="","",IF(SUMPRODUCT(--ISNUMBER(SEARCH({"confined","live","11kv","unprotected edge","no harness","no gas"},LOWER(C14))))&gt;0,"Critical",IF(SUMPRODUCT(--ISNUMBER(SEARCH({"scaffold","excav","lift","electrical","ptw"},LOWER(C14))))&gt;0,"High","Medium")))</f>
        <v>High</v>
      </c>
      <c r="H14" s="4" t="s">
        <v>457</v>
      </c>
    </row>
    <row r="15" spans="1:8" ht="48" customHeight="1" x14ac:dyDescent="0.3">
      <c r="B15" s="4"/>
      <c r="C15" s="4"/>
      <c r="D15" s="2" t="str">
        <f>IF(C15="","",IF(SUMPRODUCT(--ISNUMBER(SEARCH({"lift","crane","sling","rigging"},LOWER(C15))))&gt;0,"EHS Observation — Lifting Operations: Unsafe lifting practice observed. Stop-work until lift plan and competent rigger are verified.",IF(SUMPRODUCT(--ISNUMBER(SEARCH({"scaffold"},LOWER(C15))))&gt;0,"EHS Observation — Scaffolding: Incomplete/incorrectly tagged scaffold. Red-tag and prohibit access.",IF(SUMPRODUCT(--ISNUMBER(SEARCH({"excav","trench"},LOWER(C15))))&gt;0,"EHS Observation — Excavation: Inadequate excavation controls. Stop until shoring/services verified.",IF(SUMPRODUCT(--ISNUMBER(SEARCH({"confined","tank","gas test"},LOWER(C15))))&gt;0,"EHS Observation — Confined Space: Uncontrolled entry. Evacuate and re-issue CS PTW.",IF(SUMPRODUCT(--ISNUMBER(SEARCH({"harness","height","edge","roof"},LOWER(C15))))&gt;0,"EHS Observation — Working at Height: Unprotected edge / no 100% tie-off. Life-saving rule breach.",IF(SUMPRODUCT(--ISNUMBER(SEARCH({"electrical","cable","loto"},LOWER(C15))))&gt;0,"EHS Observation — Electrical: Live services without isolation/LOTO.",IF(SUMPRODUCT(--ISNUMBER(SEARCH({"ptw","permit"},LOWER(C15))))&gt;0,"EHS Observation — Work Permit: Missing or expired PTW.","EHS Observation: Unsafe act/condition — make safe and record in tracker."))))))))</f>
        <v/>
      </c>
      <c r="E15" s="2" t="str">
        <f t="shared" ref="E15:E39" si="0">IF(C15="","","1) CORRECTIVE: Stop &amp; make safe. 2) CONTAINMENT: Barricade/tag-out. 3) PREVENTIVE: TBT 24h + JSA update + competency check. 4) VERIFY: EHS restart inspection with evidence.")</f>
        <v/>
      </c>
      <c r="F15" s="2"/>
      <c r="G15" s="2" t="str">
        <f>IF(C15="","",IF(SUMPRODUCT(--ISNUMBER(SEARCH({"confined","live","no harness","gas"},LOWER(C15))))&gt;0,"Critical",IF(SUMPRODUCT(--ISNUMBER(SEARCH({"scaffold","excav","lift","electrical","ptw"},LOWER(C15))))&gt;0,"High","Medium")))</f>
        <v/>
      </c>
      <c r="H15" s="4"/>
    </row>
    <row r="16" spans="1:8" ht="48" customHeight="1" x14ac:dyDescent="0.3">
      <c r="B16" s="4"/>
      <c r="C16" s="4"/>
      <c r="D16" s="2" t="str">
        <f>IF(C16="","",IF(SUMPRODUCT(--ISNUMBER(SEARCH({"lift","crane","sling","rigging"},LOWER(C16))))&gt;0,"EHS Observation — Lifting Operations: Unsafe lifting practice observed. Stop-work until lift plan and competent rigger are verified.",IF(SUMPRODUCT(--ISNUMBER(SEARCH({"scaffold"},LOWER(C16))))&gt;0,"EHS Observation — Scaffolding: Incomplete/incorrectly tagged scaffold. Red-tag and prohibit access.",IF(SUMPRODUCT(--ISNUMBER(SEARCH({"excav","trench"},LOWER(C16))))&gt;0,"EHS Observation — Excavation: Inadequate excavation controls. Stop until shoring/services verified.",IF(SUMPRODUCT(--ISNUMBER(SEARCH({"confined","tank","gas test"},LOWER(C16))))&gt;0,"EHS Observation — Confined Space: Uncontrolled entry. Evacuate and re-issue CS PTW.",IF(SUMPRODUCT(--ISNUMBER(SEARCH({"harness","height","edge","roof"},LOWER(C16))))&gt;0,"EHS Observation — Working at Height: Unprotected edge / no 100% tie-off. Life-saving rule breach.",IF(SUMPRODUCT(--ISNUMBER(SEARCH({"electrical","cable","loto"},LOWER(C16))))&gt;0,"EHS Observation — Electrical: Live services without isolation/LOTO.",IF(SUMPRODUCT(--ISNUMBER(SEARCH({"ptw","permit"},LOWER(C16))))&gt;0,"EHS Observation — Work Permit: Missing or expired PTW.","EHS Observation: Unsafe act/condition — make safe and record in tracker."))))))))</f>
        <v/>
      </c>
      <c r="E16" s="2" t="str">
        <f t="shared" si="0"/>
        <v/>
      </c>
      <c r="F16" s="2"/>
      <c r="G16" s="2" t="str">
        <f>IF(C16="","",IF(SUMPRODUCT(--ISNUMBER(SEARCH({"confined","live","no harness","gas"},LOWER(C16))))&gt;0,"Critical",IF(SUMPRODUCT(--ISNUMBER(SEARCH({"scaffold","excav","lift","electrical","ptw"},LOWER(C16))))&gt;0,"High","Medium")))</f>
        <v/>
      </c>
      <c r="H16" s="4"/>
    </row>
    <row r="17" spans="2:8" ht="48" customHeight="1" x14ac:dyDescent="0.3">
      <c r="B17" s="4"/>
      <c r="C17" s="4"/>
      <c r="D17" s="2" t="str">
        <f>IF(C17="","",IF(SUMPRODUCT(--ISNUMBER(SEARCH({"lift","crane","sling","rigging"},LOWER(C17))))&gt;0,"EHS Observation — Lifting Operations: Unsafe lifting practice observed. Stop-work until lift plan and competent rigger are verified.",IF(SUMPRODUCT(--ISNUMBER(SEARCH({"scaffold"},LOWER(C17))))&gt;0,"EHS Observation — Scaffolding: Incomplete/incorrectly tagged scaffold. Red-tag and prohibit access.",IF(SUMPRODUCT(--ISNUMBER(SEARCH({"excav","trench"},LOWER(C17))))&gt;0,"EHS Observation — Excavation: Inadequate excavation controls. Stop until shoring/services verified.",IF(SUMPRODUCT(--ISNUMBER(SEARCH({"confined","tank","gas test"},LOWER(C17))))&gt;0,"EHS Observation — Confined Space: Uncontrolled entry. Evacuate and re-issue CS PTW.",IF(SUMPRODUCT(--ISNUMBER(SEARCH({"harness","height","edge","roof"},LOWER(C17))))&gt;0,"EHS Observation — Working at Height: Unprotected edge / no 100% tie-off. Life-saving rule breach.",IF(SUMPRODUCT(--ISNUMBER(SEARCH({"electrical","cable","loto"},LOWER(C17))))&gt;0,"EHS Observation — Electrical: Live services without isolation/LOTO.",IF(SUMPRODUCT(--ISNUMBER(SEARCH({"ptw","permit"},LOWER(C17))))&gt;0,"EHS Observation — Work Permit: Missing or expired PTW.","EHS Observation: Unsafe act/condition — make safe and record in tracker."))))))))</f>
        <v/>
      </c>
      <c r="E17" s="2" t="str">
        <f t="shared" si="0"/>
        <v/>
      </c>
      <c r="F17" s="2"/>
      <c r="G17" s="2" t="str">
        <f>IF(C17="","",IF(SUMPRODUCT(--ISNUMBER(SEARCH({"confined","live","no harness","gas"},LOWER(C17))))&gt;0,"Critical",IF(SUMPRODUCT(--ISNUMBER(SEARCH({"scaffold","excav","lift","electrical","ptw"},LOWER(C17))))&gt;0,"High","Medium")))</f>
        <v/>
      </c>
      <c r="H17" s="4"/>
    </row>
    <row r="18" spans="2:8" ht="48" customHeight="1" x14ac:dyDescent="0.3">
      <c r="B18" s="4"/>
      <c r="C18" s="4"/>
      <c r="D18" s="2" t="str">
        <f>IF(C18="","",IF(SUMPRODUCT(--ISNUMBER(SEARCH({"lift","crane","sling","rigging"},LOWER(C18))))&gt;0,"EHS Observation — Lifting Operations: Unsafe lifting practice observed. Stop-work until lift plan and competent rigger are verified.",IF(SUMPRODUCT(--ISNUMBER(SEARCH({"scaffold"},LOWER(C18))))&gt;0,"EHS Observation — Scaffolding: Incomplete/incorrectly tagged scaffold. Red-tag and prohibit access.",IF(SUMPRODUCT(--ISNUMBER(SEARCH({"excav","trench"},LOWER(C18))))&gt;0,"EHS Observation — Excavation: Inadequate excavation controls. Stop until shoring/services verified.",IF(SUMPRODUCT(--ISNUMBER(SEARCH({"confined","tank","gas test"},LOWER(C18))))&gt;0,"EHS Observation — Confined Space: Uncontrolled entry. Evacuate and re-issue CS PTW.",IF(SUMPRODUCT(--ISNUMBER(SEARCH({"harness","height","edge","roof"},LOWER(C18))))&gt;0,"EHS Observation — Working at Height: Unprotected edge / no 100% tie-off. Life-saving rule breach.",IF(SUMPRODUCT(--ISNUMBER(SEARCH({"electrical","cable","loto"},LOWER(C18))))&gt;0,"EHS Observation — Electrical: Live services without isolation/LOTO.",IF(SUMPRODUCT(--ISNUMBER(SEARCH({"ptw","permit"},LOWER(C18))))&gt;0,"EHS Observation — Work Permit: Missing or expired PTW.","EHS Observation: Unsafe act/condition — make safe and record in tracker."))))))))</f>
        <v/>
      </c>
      <c r="E18" s="2" t="str">
        <f t="shared" si="0"/>
        <v/>
      </c>
      <c r="F18" s="2"/>
      <c r="G18" s="2" t="str">
        <f>IF(C18="","",IF(SUMPRODUCT(--ISNUMBER(SEARCH({"confined","live","no harness","gas"},LOWER(C18))))&gt;0,"Critical",IF(SUMPRODUCT(--ISNUMBER(SEARCH({"scaffold","excav","lift","electrical","ptw"},LOWER(C18))))&gt;0,"High","Medium")))</f>
        <v/>
      </c>
      <c r="H18" s="4"/>
    </row>
    <row r="19" spans="2:8" ht="48" customHeight="1" x14ac:dyDescent="0.3">
      <c r="B19" s="4"/>
      <c r="C19" s="4"/>
      <c r="D19" s="2" t="str">
        <f>IF(C19="","",IF(SUMPRODUCT(--ISNUMBER(SEARCH({"lift","crane","sling","rigging"},LOWER(C19))))&gt;0,"EHS Observation — Lifting Operations: Unsafe lifting practice observed. Stop-work until lift plan and competent rigger are verified.",IF(SUMPRODUCT(--ISNUMBER(SEARCH({"scaffold"},LOWER(C19))))&gt;0,"EHS Observation — Scaffolding: Incomplete/incorrectly tagged scaffold. Red-tag and prohibit access.",IF(SUMPRODUCT(--ISNUMBER(SEARCH({"excav","trench"},LOWER(C19))))&gt;0,"EHS Observation — Excavation: Inadequate excavation controls. Stop until shoring/services verified.",IF(SUMPRODUCT(--ISNUMBER(SEARCH({"confined","tank","gas test"},LOWER(C19))))&gt;0,"EHS Observation — Confined Space: Uncontrolled entry. Evacuate and re-issue CS PTW.",IF(SUMPRODUCT(--ISNUMBER(SEARCH({"harness","height","edge","roof"},LOWER(C19))))&gt;0,"EHS Observation — Working at Height: Unprotected edge / no 100% tie-off. Life-saving rule breach.",IF(SUMPRODUCT(--ISNUMBER(SEARCH({"electrical","cable","loto"},LOWER(C19))))&gt;0,"EHS Observation — Electrical: Live services without isolation/LOTO.",IF(SUMPRODUCT(--ISNUMBER(SEARCH({"ptw","permit"},LOWER(C19))))&gt;0,"EHS Observation — Work Permit: Missing or expired PTW.","EHS Observation: Unsafe act/condition — make safe and record in tracker."))))))))</f>
        <v/>
      </c>
      <c r="E19" s="2" t="str">
        <f t="shared" si="0"/>
        <v/>
      </c>
      <c r="F19" s="2"/>
      <c r="G19" s="2" t="str">
        <f>IF(C19="","",IF(SUMPRODUCT(--ISNUMBER(SEARCH({"confined","live","no harness","gas"},LOWER(C19))))&gt;0,"Critical",IF(SUMPRODUCT(--ISNUMBER(SEARCH({"scaffold","excav","lift","electrical","ptw"},LOWER(C19))))&gt;0,"High","Medium")))</f>
        <v/>
      </c>
      <c r="H19" s="4"/>
    </row>
    <row r="20" spans="2:8" ht="48" customHeight="1" x14ac:dyDescent="0.3">
      <c r="B20" s="4"/>
      <c r="C20" s="4"/>
      <c r="D20" s="2" t="str">
        <f>IF(C20="","",IF(SUMPRODUCT(--ISNUMBER(SEARCH({"lift","crane","sling","rigging"},LOWER(C20))))&gt;0,"EHS Observation — Lifting Operations: Unsafe lifting practice observed. Stop-work until lift plan and competent rigger are verified.",IF(SUMPRODUCT(--ISNUMBER(SEARCH({"scaffold"},LOWER(C20))))&gt;0,"EHS Observation — Scaffolding: Incomplete/incorrectly tagged scaffold. Red-tag and prohibit access.",IF(SUMPRODUCT(--ISNUMBER(SEARCH({"excav","trench"},LOWER(C20))))&gt;0,"EHS Observation — Excavation: Inadequate excavation controls. Stop until shoring/services verified.",IF(SUMPRODUCT(--ISNUMBER(SEARCH({"confined","tank","gas test"},LOWER(C20))))&gt;0,"EHS Observation — Confined Space: Uncontrolled entry. Evacuate and re-issue CS PTW.",IF(SUMPRODUCT(--ISNUMBER(SEARCH({"harness","height","edge","roof"},LOWER(C20))))&gt;0,"EHS Observation — Working at Height: Unprotected edge / no 100% tie-off. Life-saving rule breach.",IF(SUMPRODUCT(--ISNUMBER(SEARCH({"electrical","cable","loto"},LOWER(C20))))&gt;0,"EHS Observation — Electrical: Live services without isolation/LOTO.",IF(SUMPRODUCT(--ISNUMBER(SEARCH({"ptw","permit"},LOWER(C20))))&gt;0,"EHS Observation — Work Permit: Missing or expired PTW.","EHS Observation: Unsafe act/condition — make safe and record in tracker."))))))))</f>
        <v/>
      </c>
      <c r="E20" s="2" t="str">
        <f t="shared" si="0"/>
        <v/>
      </c>
      <c r="F20" s="2"/>
      <c r="G20" s="2" t="str">
        <f>IF(C20="","",IF(SUMPRODUCT(--ISNUMBER(SEARCH({"confined","live","no harness","gas"},LOWER(C20))))&gt;0,"Critical",IF(SUMPRODUCT(--ISNUMBER(SEARCH({"scaffold","excav","lift","electrical","ptw"},LOWER(C20))))&gt;0,"High","Medium")))</f>
        <v/>
      </c>
      <c r="H20" s="4"/>
    </row>
    <row r="21" spans="2:8" ht="48" customHeight="1" x14ac:dyDescent="0.3">
      <c r="B21" s="4"/>
      <c r="C21" s="4"/>
      <c r="D21" s="2" t="str">
        <f>IF(C21="","",IF(SUMPRODUCT(--ISNUMBER(SEARCH({"lift","crane","sling","rigging"},LOWER(C21))))&gt;0,"EHS Observation — Lifting Operations: Unsafe lifting practice observed. Stop-work until lift plan and competent rigger are verified.",IF(SUMPRODUCT(--ISNUMBER(SEARCH({"scaffold"},LOWER(C21))))&gt;0,"EHS Observation — Scaffolding: Incomplete/incorrectly tagged scaffold. Red-tag and prohibit access.",IF(SUMPRODUCT(--ISNUMBER(SEARCH({"excav","trench"},LOWER(C21))))&gt;0,"EHS Observation — Excavation: Inadequate excavation controls. Stop until shoring/services verified.",IF(SUMPRODUCT(--ISNUMBER(SEARCH({"confined","tank","gas test"},LOWER(C21))))&gt;0,"EHS Observation — Confined Space: Uncontrolled entry. Evacuate and re-issue CS PTW.",IF(SUMPRODUCT(--ISNUMBER(SEARCH({"harness","height","edge","roof"},LOWER(C21))))&gt;0,"EHS Observation — Working at Height: Unprotected edge / no 100% tie-off. Life-saving rule breach.",IF(SUMPRODUCT(--ISNUMBER(SEARCH({"electrical","cable","loto"},LOWER(C21))))&gt;0,"EHS Observation — Electrical: Live services without isolation/LOTO.",IF(SUMPRODUCT(--ISNUMBER(SEARCH({"ptw","permit"},LOWER(C21))))&gt;0,"EHS Observation — Work Permit: Missing or expired PTW.","EHS Observation: Unsafe act/condition — make safe and record in tracker."))))))))</f>
        <v/>
      </c>
      <c r="E21" s="2" t="str">
        <f t="shared" si="0"/>
        <v/>
      </c>
      <c r="F21" s="2"/>
      <c r="G21" s="2" t="str">
        <f>IF(C21="","",IF(SUMPRODUCT(--ISNUMBER(SEARCH({"confined","live","no harness","gas"},LOWER(C21))))&gt;0,"Critical",IF(SUMPRODUCT(--ISNUMBER(SEARCH({"scaffold","excav","lift","electrical","ptw"},LOWER(C21))))&gt;0,"High","Medium")))</f>
        <v/>
      </c>
      <c r="H21" s="4"/>
    </row>
    <row r="22" spans="2:8" ht="48" customHeight="1" x14ac:dyDescent="0.3">
      <c r="B22" s="4"/>
      <c r="C22" s="4"/>
      <c r="D22" s="2" t="str">
        <f>IF(C22="","",IF(SUMPRODUCT(--ISNUMBER(SEARCH({"lift","crane","sling","rigging"},LOWER(C22))))&gt;0,"EHS Observation — Lifting Operations: Unsafe lifting practice observed. Stop-work until lift plan and competent rigger are verified.",IF(SUMPRODUCT(--ISNUMBER(SEARCH({"scaffold"},LOWER(C22))))&gt;0,"EHS Observation — Scaffolding: Incomplete/incorrectly tagged scaffold. Red-tag and prohibit access.",IF(SUMPRODUCT(--ISNUMBER(SEARCH({"excav","trench"},LOWER(C22))))&gt;0,"EHS Observation — Excavation: Inadequate excavation controls. Stop until shoring/services verified.",IF(SUMPRODUCT(--ISNUMBER(SEARCH({"confined","tank","gas test"},LOWER(C22))))&gt;0,"EHS Observation — Confined Space: Uncontrolled entry. Evacuate and re-issue CS PTW.",IF(SUMPRODUCT(--ISNUMBER(SEARCH({"harness","height","edge","roof"},LOWER(C22))))&gt;0,"EHS Observation — Working at Height: Unprotected edge / no 100% tie-off. Life-saving rule breach.",IF(SUMPRODUCT(--ISNUMBER(SEARCH({"electrical","cable","loto"},LOWER(C22))))&gt;0,"EHS Observation — Electrical: Live services without isolation/LOTO.",IF(SUMPRODUCT(--ISNUMBER(SEARCH({"ptw","permit"},LOWER(C22))))&gt;0,"EHS Observation — Work Permit: Missing or expired PTW.","EHS Observation: Unsafe act/condition — make safe and record in tracker."))))))))</f>
        <v/>
      </c>
      <c r="E22" s="2" t="str">
        <f t="shared" si="0"/>
        <v/>
      </c>
      <c r="F22" s="2"/>
      <c r="G22" s="2" t="str">
        <f>IF(C22="","",IF(SUMPRODUCT(--ISNUMBER(SEARCH({"confined","live","no harness","gas"},LOWER(C22))))&gt;0,"Critical",IF(SUMPRODUCT(--ISNUMBER(SEARCH({"scaffold","excav","lift","electrical","ptw"},LOWER(C22))))&gt;0,"High","Medium")))</f>
        <v/>
      </c>
      <c r="H22" s="4"/>
    </row>
    <row r="23" spans="2:8" ht="48" customHeight="1" x14ac:dyDescent="0.3">
      <c r="B23" s="4"/>
      <c r="C23" s="4"/>
      <c r="D23" s="2" t="str">
        <f>IF(C23="","",IF(SUMPRODUCT(--ISNUMBER(SEARCH({"lift","crane","sling","rigging"},LOWER(C23))))&gt;0,"EHS Observation — Lifting Operations: Unsafe lifting practice observed. Stop-work until lift plan and competent rigger are verified.",IF(SUMPRODUCT(--ISNUMBER(SEARCH({"scaffold"},LOWER(C23))))&gt;0,"EHS Observation — Scaffolding: Incomplete/incorrectly tagged scaffold. Red-tag and prohibit access.",IF(SUMPRODUCT(--ISNUMBER(SEARCH({"excav","trench"},LOWER(C23))))&gt;0,"EHS Observation — Excavation: Inadequate excavation controls. Stop until shoring/services verified.",IF(SUMPRODUCT(--ISNUMBER(SEARCH({"confined","tank","gas test"},LOWER(C23))))&gt;0,"EHS Observation — Confined Space: Uncontrolled entry. Evacuate and re-issue CS PTW.",IF(SUMPRODUCT(--ISNUMBER(SEARCH({"harness","height","edge","roof"},LOWER(C23))))&gt;0,"EHS Observation — Working at Height: Unprotected edge / no 100% tie-off. Life-saving rule breach.",IF(SUMPRODUCT(--ISNUMBER(SEARCH({"electrical","cable","loto"},LOWER(C23))))&gt;0,"EHS Observation — Electrical: Live services without isolation/LOTO.",IF(SUMPRODUCT(--ISNUMBER(SEARCH({"ptw","permit"},LOWER(C23))))&gt;0,"EHS Observation — Work Permit: Missing or expired PTW.","EHS Observation: Unsafe act/condition — make safe and record in tracker."))))))))</f>
        <v/>
      </c>
      <c r="E23" s="2" t="str">
        <f t="shared" si="0"/>
        <v/>
      </c>
      <c r="F23" s="2"/>
      <c r="G23" s="2" t="str">
        <f>IF(C23="","",IF(SUMPRODUCT(--ISNUMBER(SEARCH({"confined","live","no harness","gas"},LOWER(C23))))&gt;0,"Critical",IF(SUMPRODUCT(--ISNUMBER(SEARCH({"scaffold","excav","lift","electrical","ptw"},LOWER(C23))))&gt;0,"High","Medium")))</f>
        <v/>
      </c>
      <c r="H23" s="4"/>
    </row>
    <row r="24" spans="2:8" ht="48" customHeight="1" x14ac:dyDescent="0.3">
      <c r="B24" s="4"/>
      <c r="C24" s="4"/>
      <c r="D24" s="2" t="str">
        <f>IF(C24="","",IF(SUMPRODUCT(--ISNUMBER(SEARCH({"lift","crane","sling","rigging"},LOWER(C24))))&gt;0,"EHS Observation — Lifting Operations: Unsafe lifting practice observed. Stop-work until lift plan and competent rigger are verified.",IF(SUMPRODUCT(--ISNUMBER(SEARCH({"scaffold"},LOWER(C24))))&gt;0,"EHS Observation — Scaffolding: Incomplete/incorrectly tagged scaffold. Red-tag and prohibit access.",IF(SUMPRODUCT(--ISNUMBER(SEARCH({"excav","trench"},LOWER(C24))))&gt;0,"EHS Observation — Excavation: Inadequate excavation controls. Stop until shoring/services verified.",IF(SUMPRODUCT(--ISNUMBER(SEARCH({"confined","tank","gas test"},LOWER(C24))))&gt;0,"EHS Observation — Confined Space: Uncontrolled entry. Evacuate and re-issue CS PTW.",IF(SUMPRODUCT(--ISNUMBER(SEARCH({"harness","height","edge","roof"},LOWER(C24))))&gt;0,"EHS Observation — Working at Height: Unprotected edge / no 100% tie-off. Life-saving rule breach.",IF(SUMPRODUCT(--ISNUMBER(SEARCH({"electrical","cable","loto"},LOWER(C24))))&gt;0,"EHS Observation — Electrical: Live services without isolation/LOTO.",IF(SUMPRODUCT(--ISNUMBER(SEARCH({"ptw","permit"},LOWER(C24))))&gt;0,"EHS Observation — Work Permit: Missing or expired PTW.","EHS Observation: Unsafe act/condition — make safe and record in tracker."))))))))</f>
        <v/>
      </c>
      <c r="E24" s="2" t="str">
        <f t="shared" si="0"/>
        <v/>
      </c>
      <c r="F24" s="2"/>
      <c r="G24" s="2" t="str">
        <f>IF(C24="","",IF(SUMPRODUCT(--ISNUMBER(SEARCH({"confined","live","no harness","gas"},LOWER(C24))))&gt;0,"Critical",IF(SUMPRODUCT(--ISNUMBER(SEARCH({"scaffold","excav","lift","electrical","ptw"},LOWER(C24))))&gt;0,"High","Medium")))</f>
        <v/>
      </c>
      <c r="H24" s="4"/>
    </row>
    <row r="25" spans="2:8" ht="48" customHeight="1" x14ac:dyDescent="0.3">
      <c r="B25" s="4"/>
      <c r="C25" s="4"/>
      <c r="D25" s="2" t="str">
        <f>IF(C25="","",IF(SUMPRODUCT(--ISNUMBER(SEARCH({"lift","crane","sling","rigging"},LOWER(C25))))&gt;0,"EHS Observation — Lifting Operations: Unsafe lifting practice observed. Stop-work until lift plan and competent rigger are verified.",IF(SUMPRODUCT(--ISNUMBER(SEARCH({"scaffold"},LOWER(C25))))&gt;0,"EHS Observation — Scaffolding: Incomplete/incorrectly tagged scaffold. Red-tag and prohibit access.",IF(SUMPRODUCT(--ISNUMBER(SEARCH({"excav","trench"},LOWER(C25))))&gt;0,"EHS Observation — Excavation: Inadequate excavation controls. Stop until shoring/services verified.",IF(SUMPRODUCT(--ISNUMBER(SEARCH({"confined","tank","gas test"},LOWER(C25))))&gt;0,"EHS Observation — Confined Space: Uncontrolled entry. Evacuate and re-issue CS PTW.",IF(SUMPRODUCT(--ISNUMBER(SEARCH({"harness","height","edge","roof"},LOWER(C25))))&gt;0,"EHS Observation — Working at Height: Unprotected edge / no 100% tie-off. Life-saving rule breach.",IF(SUMPRODUCT(--ISNUMBER(SEARCH({"electrical","cable","loto"},LOWER(C25))))&gt;0,"EHS Observation — Electrical: Live services without isolation/LOTO.",IF(SUMPRODUCT(--ISNUMBER(SEARCH({"ptw","permit"},LOWER(C25))))&gt;0,"EHS Observation — Work Permit: Missing or expired PTW.","EHS Observation: Unsafe act/condition — make safe and record in tracker."))))))))</f>
        <v/>
      </c>
      <c r="E25" s="2" t="str">
        <f t="shared" si="0"/>
        <v/>
      </c>
      <c r="F25" s="2"/>
      <c r="G25" s="2" t="str">
        <f>IF(C25="","",IF(SUMPRODUCT(--ISNUMBER(SEARCH({"confined","live","no harness","gas"},LOWER(C25))))&gt;0,"Critical",IF(SUMPRODUCT(--ISNUMBER(SEARCH({"scaffold","excav","lift","electrical","ptw"},LOWER(C25))))&gt;0,"High","Medium")))</f>
        <v/>
      </c>
      <c r="H25" s="4"/>
    </row>
    <row r="26" spans="2:8" ht="48" customHeight="1" x14ac:dyDescent="0.3">
      <c r="B26" s="4"/>
      <c r="C26" s="4"/>
      <c r="D26" s="2" t="str">
        <f>IF(C26="","",IF(SUMPRODUCT(--ISNUMBER(SEARCH({"lift","crane","sling","rigging"},LOWER(C26))))&gt;0,"EHS Observation — Lifting Operations: Unsafe lifting practice observed. Stop-work until lift plan and competent rigger are verified.",IF(SUMPRODUCT(--ISNUMBER(SEARCH({"scaffold"},LOWER(C26))))&gt;0,"EHS Observation — Scaffolding: Incomplete/incorrectly tagged scaffold. Red-tag and prohibit access.",IF(SUMPRODUCT(--ISNUMBER(SEARCH({"excav","trench"},LOWER(C26))))&gt;0,"EHS Observation — Excavation: Inadequate excavation controls. Stop until shoring/services verified.",IF(SUMPRODUCT(--ISNUMBER(SEARCH({"confined","tank","gas test"},LOWER(C26))))&gt;0,"EHS Observation — Confined Space: Uncontrolled entry. Evacuate and re-issue CS PTW.",IF(SUMPRODUCT(--ISNUMBER(SEARCH({"harness","height","edge","roof"},LOWER(C26))))&gt;0,"EHS Observation — Working at Height: Unprotected edge / no 100% tie-off. Life-saving rule breach.",IF(SUMPRODUCT(--ISNUMBER(SEARCH({"electrical","cable","loto"},LOWER(C26))))&gt;0,"EHS Observation — Electrical: Live services without isolation/LOTO.",IF(SUMPRODUCT(--ISNUMBER(SEARCH({"ptw","permit"},LOWER(C26))))&gt;0,"EHS Observation — Work Permit: Missing or expired PTW.","EHS Observation: Unsafe act/condition — make safe and record in tracker."))))))))</f>
        <v/>
      </c>
      <c r="E26" s="2" t="str">
        <f t="shared" si="0"/>
        <v/>
      </c>
      <c r="F26" s="2"/>
      <c r="G26" s="2" t="str">
        <f>IF(C26="","",IF(SUMPRODUCT(--ISNUMBER(SEARCH({"confined","live","no harness","gas"},LOWER(C26))))&gt;0,"Critical",IF(SUMPRODUCT(--ISNUMBER(SEARCH({"scaffold","excav","lift","electrical","ptw"},LOWER(C26))))&gt;0,"High","Medium")))</f>
        <v/>
      </c>
      <c r="H26" s="4"/>
    </row>
    <row r="27" spans="2:8" ht="48" customHeight="1" x14ac:dyDescent="0.3">
      <c r="B27" s="4"/>
      <c r="C27" s="4"/>
      <c r="D27" s="2" t="str">
        <f>IF(C27="","",IF(SUMPRODUCT(--ISNUMBER(SEARCH({"lift","crane","sling","rigging"},LOWER(C27))))&gt;0,"EHS Observation — Lifting Operations: Unsafe lifting practice observed. Stop-work until lift plan and competent rigger are verified.",IF(SUMPRODUCT(--ISNUMBER(SEARCH({"scaffold"},LOWER(C27))))&gt;0,"EHS Observation — Scaffolding: Incomplete/incorrectly tagged scaffold. Red-tag and prohibit access.",IF(SUMPRODUCT(--ISNUMBER(SEARCH({"excav","trench"},LOWER(C27))))&gt;0,"EHS Observation — Excavation: Inadequate excavation controls. Stop until shoring/services verified.",IF(SUMPRODUCT(--ISNUMBER(SEARCH({"confined","tank","gas test"},LOWER(C27))))&gt;0,"EHS Observation — Confined Space: Uncontrolled entry. Evacuate and re-issue CS PTW.",IF(SUMPRODUCT(--ISNUMBER(SEARCH({"harness","height","edge","roof"},LOWER(C27))))&gt;0,"EHS Observation — Working at Height: Unprotected edge / no 100% tie-off. Life-saving rule breach.",IF(SUMPRODUCT(--ISNUMBER(SEARCH({"electrical","cable","loto"},LOWER(C27))))&gt;0,"EHS Observation — Electrical: Live services without isolation/LOTO.",IF(SUMPRODUCT(--ISNUMBER(SEARCH({"ptw","permit"},LOWER(C27))))&gt;0,"EHS Observation — Work Permit: Missing or expired PTW.","EHS Observation: Unsafe act/condition — make safe and record in tracker."))))))))</f>
        <v/>
      </c>
      <c r="E27" s="2" t="str">
        <f t="shared" si="0"/>
        <v/>
      </c>
      <c r="F27" s="2"/>
      <c r="G27" s="2" t="str">
        <f>IF(C27="","",IF(SUMPRODUCT(--ISNUMBER(SEARCH({"confined","live","no harness","gas"},LOWER(C27))))&gt;0,"Critical",IF(SUMPRODUCT(--ISNUMBER(SEARCH({"scaffold","excav","lift","electrical","ptw"},LOWER(C27))))&gt;0,"High","Medium")))</f>
        <v/>
      </c>
      <c r="H27" s="4"/>
    </row>
    <row r="28" spans="2:8" ht="48" customHeight="1" x14ac:dyDescent="0.3">
      <c r="B28" s="4"/>
      <c r="C28" s="4"/>
      <c r="D28" s="2" t="str">
        <f>IF(C28="","",IF(SUMPRODUCT(--ISNUMBER(SEARCH({"lift","crane","sling","rigging"},LOWER(C28))))&gt;0,"EHS Observation — Lifting Operations: Unsafe lifting practice observed. Stop-work until lift plan and competent rigger are verified.",IF(SUMPRODUCT(--ISNUMBER(SEARCH({"scaffold"},LOWER(C28))))&gt;0,"EHS Observation — Scaffolding: Incomplete/incorrectly tagged scaffold. Red-tag and prohibit access.",IF(SUMPRODUCT(--ISNUMBER(SEARCH({"excav","trench"},LOWER(C28))))&gt;0,"EHS Observation — Excavation: Inadequate excavation controls. Stop until shoring/services verified.",IF(SUMPRODUCT(--ISNUMBER(SEARCH({"confined","tank","gas test"},LOWER(C28))))&gt;0,"EHS Observation — Confined Space: Uncontrolled entry. Evacuate and re-issue CS PTW.",IF(SUMPRODUCT(--ISNUMBER(SEARCH({"harness","height","edge","roof"},LOWER(C28))))&gt;0,"EHS Observation — Working at Height: Unprotected edge / no 100% tie-off. Life-saving rule breach.",IF(SUMPRODUCT(--ISNUMBER(SEARCH({"electrical","cable","loto"},LOWER(C28))))&gt;0,"EHS Observation — Electrical: Live services without isolation/LOTO.",IF(SUMPRODUCT(--ISNUMBER(SEARCH({"ptw","permit"},LOWER(C28))))&gt;0,"EHS Observation — Work Permit: Missing or expired PTW.","EHS Observation: Unsafe act/condition — make safe and record in tracker."))))))))</f>
        <v/>
      </c>
      <c r="E28" s="2" t="str">
        <f t="shared" si="0"/>
        <v/>
      </c>
      <c r="F28" s="2"/>
      <c r="G28" s="2" t="str">
        <f>IF(C28="","",IF(SUMPRODUCT(--ISNUMBER(SEARCH({"confined","live","no harness","gas"},LOWER(C28))))&gt;0,"Critical",IF(SUMPRODUCT(--ISNUMBER(SEARCH({"scaffold","excav","lift","electrical","ptw"},LOWER(C28))))&gt;0,"High","Medium")))</f>
        <v/>
      </c>
      <c r="H28" s="4"/>
    </row>
    <row r="29" spans="2:8" ht="48" customHeight="1" x14ac:dyDescent="0.3">
      <c r="B29" s="4"/>
      <c r="C29" s="4"/>
      <c r="D29" s="2" t="str">
        <f>IF(C29="","",IF(SUMPRODUCT(--ISNUMBER(SEARCH({"lift","crane","sling","rigging"},LOWER(C29))))&gt;0,"EHS Observation — Lifting Operations: Unsafe lifting practice observed. Stop-work until lift plan and competent rigger are verified.",IF(SUMPRODUCT(--ISNUMBER(SEARCH({"scaffold"},LOWER(C29))))&gt;0,"EHS Observation — Scaffolding: Incomplete/incorrectly tagged scaffold. Red-tag and prohibit access.",IF(SUMPRODUCT(--ISNUMBER(SEARCH({"excav","trench"},LOWER(C29))))&gt;0,"EHS Observation — Excavation: Inadequate excavation controls. Stop until shoring/services verified.",IF(SUMPRODUCT(--ISNUMBER(SEARCH({"confined","tank","gas test"},LOWER(C29))))&gt;0,"EHS Observation — Confined Space: Uncontrolled entry. Evacuate and re-issue CS PTW.",IF(SUMPRODUCT(--ISNUMBER(SEARCH({"harness","height","edge","roof"},LOWER(C29))))&gt;0,"EHS Observation — Working at Height: Unprotected edge / no 100% tie-off. Life-saving rule breach.",IF(SUMPRODUCT(--ISNUMBER(SEARCH({"electrical","cable","loto"},LOWER(C29))))&gt;0,"EHS Observation — Electrical: Live services without isolation/LOTO.",IF(SUMPRODUCT(--ISNUMBER(SEARCH({"ptw","permit"},LOWER(C29))))&gt;0,"EHS Observation — Work Permit: Missing or expired PTW.","EHS Observation: Unsafe act/condition — make safe and record in tracker."))))))))</f>
        <v/>
      </c>
      <c r="E29" s="2" t="str">
        <f t="shared" si="0"/>
        <v/>
      </c>
      <c r="F29" s="2"/>
      <c r="G29" s="2" t="str">
        <f>IF(C29="","",IF(SUMPRODUCT(--ISNUMBER(SEARCH({"confined","live","no harness","gas"},LOWER(C29))))&gt;0,"Critical",IF(SUMPRODUCT(--ISNUMBER(SEARCH({"scaffold","excav","lift","electrical","ptw"},LOWER(C29))))&gt;0,"High","Medium")))</f>
        <v/>
      </c>
      <c r="H29" s="4"/>
    </row>
    <row r="30" spans="2:8" ht="48" customHeight="1" x14ac:dyDescent="0.3">
      <c r="B30" s="4"/>
      <c r="C30" s="4"/>
      <c r="D30" s="2" t="str">
        <f>IF(C30="","",IF(SUMPRODUCT(--ISNUMBER(SEARCH({"lift","crane","sling","rigging"},LOWER(C30))))&gt;0,"EHS Observation — Lifting Operations: Unsafe lifting practice observed. Stop-work until lift plan and competent rigger are verified.",IF(SUMPRODUCT(--ISNUMBER(SEARCH({"scaffold"},LOWER(C30))))&gt;0,"EHS Observation — Scaffolding: Incomplete/incorrectly tagged scaffold. Red-tag and prohibit access.",IF(SUMPRODUCT(--ISNUMBER(SEARCH({"excav","trench"},LOWER(C30))))&gt;0,"EHS Observation — Excavation: Inadequate excavation controls. Stop until shoring/services verified.",IF(SUMPRODUCT(--ISNUMBER(SEARCH({"confined","tank","gas test"},LOWER(C30))))&gt;0,"EHS Observation — Confined Space: Uncontrolled entry. Evacuate and re-issue CS PTW.",IF(SUMPRODUCT(--ISNUMBER(SEARCH({"harness","height","edge","roof"},LOWER(C30))))&gt;0,"EHS Observation — Working at Height: Unprotected edge / no 100% tie-off. Life-saving rule breach.",IF(SUMPRODUCT(--ISNUMBER(SEARCH({"electrical","cable","loto"},LOWER(C30))))&gt;0,"EHS Observation — Electrical: Live services without isolation/LOTO.",IF(SUMPRODUCT(--ISNUMBER(SEARCH({"ptw","permit"},LOWER(C30))))&gt;0,"EHS Observation — Work Permit: Missing or expired PTW.","EHS Observation: Unsafe act/condition — make safe and record in tracker."))))))))</f>
        <v/>
      </c>
      <c r="E30" s="2" t="str">
        <f t="shared" si="0"/>
        <v/>
      </c>
      <c r="F30" s="2"/>
      <c r="G30" s="2" t="str">
        <f>IF(C30="","",IF(SUMPRODUCT(--ISNUMBER(SEARCH({"confined","live","no harness","gas"},LOWER(C30))))&gt;0,"Critical",IF(SUMPRODUCT(--ISNUMBER(SEARCH({"scaffold","excav","lift","electrical","ptw"},LOWER(C30))))&gt;0,"High","Medium")))</f>
        <v/>
      </c>
      <c r="H30" s="4"/>
    </row>
    <row r="31" spans="2:8" ht="48" customHeight="1" x14ac:dyDescent="0.3">
      <c r="B31" s="4"/>
      <c r="C31" s="4"/>
      <c r="D31" s="2" t="str">
        <f>IF(C31="","",IF(SUMPRODUCT(--ISNUMBER(SEARCH({"lift","crane","sling","rigging"},LOWER(C31))))&gt;0,"EHS Observation — Lifting Operations: Unsafe lifting practice observed. Stop-work until lift plan and competent rigger are verified.",IF(SUMPRODUCT(--ISNUMBER(SEARCH({"scaffold"},LOWER(C31))))&gt;0,"EHS Observation — Scaffolding: Incomplete/incorrectly tagged scaffold. Red-tag and prohibit access.",IF(SUMPRODUCT(--ISNUMBER(SEARCH({"excav","trench"},LOWER(C31))))&gt;0,"EHS Observation — Excavation: Inadequate excavation controls. Stop until shoring/services verified.",IF(SUMPRODUCT(--ISNUMBER(SEARCH({"confined","tank","gas test"},LOWER(C31))))&gt;0,"EHS Observation — Confined Space: Uncontrolled entry. Evacuate and re-issue CS PTW.",IF(SUMPRODUCT(--ISNUMBER(SEARCH({"harness","height","edge","roof"},LOWER(C31))))&gt;0,"EHS Observation — Working at Height: Unprotected edge / no 100% tie-off. Life-saving rule breach.",IF(SUMPRODUCT(--ISNUMBER(SEARCH({"electrical","cable","loto"},LOWER(C31))))&gt;0,"EHS Observation — Electrical: Live services without isolation/LOTO.",IF(SUMPRODUCT(--ISNUMBER(SEARCH({"ptw","permit"},LOWER(C31))))&gt;0,"EHS Observation — Work Permit: Missing or expired PTW.","EHS Observation: Unsafe act/condition — make safe and record in tracker."))))))))</f>
        <v/>
      </c>
      <c r="E31" s="2" t="str">
        <f t="shared" si="0"/>
        <v/>
      </c>
      <c r="F31" s="2"/>
      <c r="G31" s="2" t="str">
        <f>IF(C31="","",IF(SUMPRODUCT(--ISNUMBER(SEARCH({"confined","live","no harness","gas"},LOWER(C31))))&gt;0,"Critical",IF(SUMPRODUCT(--ISNUMBER(SEARCH({"scaffold","excav","lift","electrical","ptw"},LOWER(C31))))&gt;0,"High","Medium")))</f>
        <v/>
      </c>
      <c r="H31" s="4"/>
    </row>
    <row r="32" spans="2:8" ht="48" customHeight="1" x14ac:dyDescent="0.3">
      <c r="B32" s="4"/>
      <c r="C32" s="4"/>
      <c r="D32" s="2" t="str">
        <f>IF(C32="","",IF(SUMPRODUCT(--ISNUMBER(SEARCH({"lift","crane","sling","rigging"},LOWER(C32))))&gt;0,"EHS Observation — Lifting Operations: Unsafe lifting practice observed. Stop-work until lift plan and competent rigger are verified.",IF(SUMPRODUCT(--ISNUMBER(SEARCH({"scaffold"},LOWER(C32))))&gt;0,"EHS Observation — Scaffolding: Incomplete/incorrectly tagged scaffold. Red-tag and prohibit access.",IF(SUMPRODUCT(--ISNUMBER(SEARCH({"excav","trench"},LOWER(C32))))&gt;0,"EHS Observation — Excavation: Inadequate excavation controls. Stop until shoring/services verified.",IF(SUMPRODUCT(--ISNUMBER(SEARCH({"confined","tank","gas test"},LOWER(C32))))&gt;0,"EHS Observation — Confined Space: Uncontrolled entry. Evacuate and re-issue CS PTW.",IF(SUMPRODUCT(--ISNUMBER(SEARCH({"harness","height","edge","roof"},LOWER(C32))))&gt;0,"EHS Observation — Working at Height: Unprotected edge / no 100% tie-off. Life-saving rule breach.",IF(SUMPRODUCT(--ISNUMBER(SEARCH({"electrical","cable","loto"},LOWER(C32))))&gt;0,"EHS Observation — Electrical: Live services without isolation/LOTO.",IF(SUMPRODUCT(--ISNUMBER(SEARCH({"ptw","permit"},LOWER(C32))))&gt;0,"EHS Observation — Work Permit: Missing or expired PTW.","EHS Observation: Unsafe act/condition — make safe and record in tracker."))))))))</f>
        <v/>
      </c>
      <c r="E32" s="2" t="str">
        <f t="shared" si="0"/>
        <v/>
      </c>
      <c r="F32" s="2"/>
      <c r="G32" s="2" t="str">
        <f>IF(C32="","",IF(SUMPRODUCT(--ISNUMBER(SEARCH({"confined","live","no harness","gas"},LOWER(C32))))&gt;0,"Critical",IF(SUMPRODUCT(--ISNUMBER(SEARCH({"scaffold","excav","lift","electrical","ptw"},LOWER(C32))))&gt;0,"High","Medium")))</f>
        <v/>
      </c>
      <c r="H32" s="4"/>
    </row>
    <row r="33" spans="2:8" ht="48" customHeight="1" x14ac:dyDescent="0.3">
      <c r="B33" s="4"/>
      <c r="C33" s="4"/>
      <c r="D33" s="2" t="str">
        <f>IF(C33="","",IF(SUMPRODUCT(--ISNUMBER(SEARCH({"lift","crane","sling","rigging"},LOWER(C33))))&gt;0,"EHS Observation — Lifting Operations: Unsafe lifting practice observed. Stop-work until lift plan and competent rigger are verified.",IF(SUMPRODUCT(--ISNUMBER(SEARCH({"scaffold"},LOWER(C33))))&gt;0,"EHS Observation — Scaffolding: Incomplete/incorrectly tagged scaffold. Red-tag and prohibit access.",IF(SUMPRODUCT(--ISNUMBER(SEARCH({"excav","trench"},LOWER(C33))))&gt;0,"EHS Observation — Excavation: Inadequate excavation controls. Stop until shoring/services verified.",IF(SUMPRODUCT(--ISNUMBER(SEARCH({"confined","tank","gas test"},LOWER(C33))))&gt;0,"EHS Observation — Confined Space: Uncontrolled entry. Evacuate and re-issue CS PTW.",IF(SUMPRODUCT(--ISNUMBER(SEARCH({"harness","height","edge","roof"},LOWER(C33))))&gt;0,"EHS Observation — Working at Height: Unprotected edge / no 100% tie-off. Life-saving rule breach.",IF(SUMPRODUCT(--ISNUMBER(SEARCH({"electrical","cable","loto"},LOWER(C33))))&gt;0,"EHS Observation — Electrical: Live services without isolation/LOTO.",IF(SUMPRODUCT(--ISNUMBER(SEARCH({"ptw","permit"},LOWER(C33))))&gt;0,"EHS Observation — Work Permit: Missing or expired PTW.","EHS Observation: Unsafe act/condition — make safe and record in tracker."))))))))</f>
        <v/>
      </c>
      <c r="E33" s="2" t="str">
        <f t="shared" si="0"/>
        <v/>
      </c>
      <c r="F33" s="2"/>
      <c r="G33" s="2" t="str">
        <f>IF(C33="","",IF(SUMPRODUCT(--ISNUMBER(SEARCH({"confined","live","no harness","gas"},LOWER(C33))))&gt;0,"Critical",IF(SUMPRODUCT(--ISNUMBER(SEARCH({"scaffold","excav","lift","electrical","ptw"},LOWER(C33))))&gt;0,"High","Medium")))</f>
        <v/>
      </c>
      <c r="H33" s="4"/>
    </row>
    <row r="34" spans="2:8" ht="48" customHeight="1" x14ac:dyDescent="0.3">
      <c r="B34" s="4"/>
      <c r="C34" s="4"/>
      <c r="D34" s="2" t="str">
        <f>IF(C34="","",IF(SUMPRODUCT(--ISNUMBER(SEARCH({"lift","crane","sling","rigging"},LOWER(C34))))&gt;0,"EHS Observation — Lifting Operations: Unsafe lifting practice observed. Stop-work until lift plan and competent rigger are verified.",IF(SUMPRODUCT(--ISNUMBER(SEARCH({"scaffold"},LOWER(C34))))&gt;0,"EHS Observation — Scaffolding: Incomplete/incorrectly tagged scaffold. Red-tag and prohibit access.",IF(SUMPRODUCT(--ISNUMBER(SEARCH({"excav","trench"},LOWER(C34))))&gt;0,"EHS Observation — Excavation: Inadequate excavation controls. Stop until shoring/services verified.",IF(SUMPRODUCT(--ISNUMBER(SEARCH({"confined","tank","gas test"},LOWER(C34))))&gt;0,"EHS Observation — Confined Space: Uncontrolled entry. Evacuate and re-issue CS PTW.",IF(SUMPRODUCT(--ISNUMBER(SEARCH({"harness","height","edge","roof"},LOWER(C34))))&gt;0,"EHS Observation — Working at Height: Unprotected edge / no 100% tie-off. Life-saving rule breach.",IF(SUMPRODUCT(--ISNUMBER(SEARCH({"electrical","cable","loto"},LOWER(C34))))&gt;0,"EHS Observation — Electrical: Live services without isolation/LOTO.",IF(SUMPRODUCT(--ISNUMBER(SEARCH({"ptw","permit"},LOWER(C34))))&gt;0,"EHS Observation — Work Permit: Missing or expired PTW.","EHS Observation: Unsafe act/condition — make safe and record in tracker."))))))))</f>
        <v/>
      </c>
      <c r="E34" s="2" t="str">
        <f t="shared" si="0"/>
        <v/>
      </c>
      <c r="F34" s="2"/>
      <c r="G34" s="2" t="str">
        <f>IF(C34="","",IF(SUMPRODUCT(--ISNUMBER(SEARCH({"confined","live","no harness","gas"},LOWER(C34))))&gt;0,"Critical",IF(SUMPRODUCT(--ISNUMBER(SEARCH({"scaffold","excav","lift","electrical","ptw"},LOWER(C34))))&gt;0,"High","Medium")))</f>
        <v/>
      </c>
      <c r="H34" s="4"/>
    </row>
    <row r="35" spans="2:8" ht="48" customHeight="1" x14ac:dyDescent="0.3">
      <c r="B35" s="4"/>
      <c r="C35" s="4"/>
      <c r="D35" s="2" t="str">
        <f>IF(C35="","",IF(SUMPRODUCT(--ISNUMBER(SEARCH({"lift","crane","sling","rigging"},LOWER(C35))))&gt;0,"EHS Observation — Lifting Operations: Unsafe lifting practice observed. Stop-work until lift plan and competent rigger are verified.",IF(SUMPRODUCT(--ISNUMBER(SEARCH({"scaffold"},LOWER(C35))))&gt;0,"EHS Observation — Scaffolding: Incomplete/incorrectly tagged scaffold. Red-tag and prohibit access.",IF(SUMPRODUCT(--ISNUMBER(SEARCH({"excav","trench"},LOWER(C35))))&gt;0,"EHS Observation — Excavation: Inadequate excavation controls. Stop until shoring/services verified.",IF(SUMPRODUCT(--ISNUMBER(SEARCH({"confined","tank","gas test"},LOWER(C35))))&gt;0,"EHS Observation — Confined Space: Uncontrolled entry. Evacuate and re-issue CS PTW.",IF(SUMPRODUCT(--ISNUMBER(SEARCH({"harness","height","edge","roof"},LOWER(C35))))&gt;0,"EHS Observation — Working at Height: Unprotected edge / no 100% tie-off. Life-saving rule breach.",IF(SUMPRODUCT(--ISNUMBER(SEARCH({"electrical","cable","loto"},LOWER(C35))))&gt;0,"EHS Observation — Electrical: Live services without isolation/LOTO.",IF(SUMPRODUCT(--ISNUMBER(SEARCH({"ptw","permit"},LOWER(C35))))&gt;0,"EHS Observation — Work Permit: Missing or expired PTW.","EHS Observation: Unsafe act/condition — make safe and record in tracker."))))))))</f>
        <v/>
      </c>
      <c r="E35" s="2" t="str">
        <f t="shared" si="0"/>
        <v/>
      </c>
      <c r="F35" s="2"/>
      <c r="G35" s="2" t="str">
        <f>IF(C35="","",IF(SUMPRODUCT(--ISNUMBER(SEARCH({"confined","live","no harness","gas"},LOWER(C35))))&gt;0,"Critical",IF(SUMPRODUCT(--ISNUMBER(SEARCH({"scaffold","excav","lift","electrical","ptw"},LOWER(C35))))&gt;0,"High","Medium")))</f>
        <v/>
      </c>
      <c r="H35" s="4"/>
    </row>
    <row r="36" spans="2:8" ht="48" customHeight="1" x14ac:dyDescent="0.3">
      <c r="B36" s="4"/>
      <c r="C36" s="4"/>
      <c r="D36" s="2" t="str">
        <f>IF(C36="","",IF(SUMPRODUCT(--ISNUMBER(SEARCH({"lift","crane","sling","rigging"},LOWER(C36))))&gt;0,"EHS Observation — Lifting Operations: Unsafe lifting practice observed. Stop-work until lift plan and competent rigger are verified.",IF(SUMPRODUCT(--ISNUMBER(SEARCH({"scaffold"},LOWER(C36))))&gt;0,"EHS Observation — Scaffolding: Incomplete/incorrectly tagged scaffold. Red-tag and prohibit access.",IF(SUMPRODUCT(--ISNUMBER(SEARCH({"excav","trench"},LOWER(C36))))&gt;0,"EHS Observation — Excavation: Inadequate excavation controls. Stop until shoring/services verified.",IF(SUMPRODUCT(--ISNUMBER(SEARCH({"confined","tank","gas test"},LOWER(C36))))&gt;0,"EHS Observation — Confined Space: Uncontrolled entry. Evacuate and re-issue CS PTW.",IF(SUMPRODUCT(--ISNUMBER(SEARCH({"harness","height","edge","roof"},LOWER(C36))))&gt;0,"EHS Observation — Working at Height: Unprotected edge / no 100% tie-off. Life-saving rule breach.",IF(SUMPRODUCT(--ISNUMBER(SEARCH({"electrical","cable","loto"},LOWER(C36))))&gt;0,"EHS Observation — Electrical: Live services without isolation/LOTO.",IF(SUMPRODUCT(--ISNUMBER(SEARCH({"ptw","permit"},LOWER(C36))))&gt;0,"EHS Observation — Work Permit: Missing or expired PTW.","EHS Observation: Unsafe act/condition — make safe and record in tracker."))))))))</f>
        <v/>
      </c>
      <c r="E36" s="2" t="str">
        <f t="shared" si="0"/>
        <v/>
      </c>
      <c r="F36" s="2"/>
      <c r="G36" s="2" t="str">
        <f>IF(C36="","",IF(SUMPRODUCT(--ISNUMBER(SEARCH({"confined","live","no harness","gas"},LOWER(C36))))&gt;0,"Critical",IF(SUMPRODUCT(--ISNUMBER(SEARCH({"scaffold","excav","lift","electrical","ptw"},LOWER(C36))))&gt;0,"High","Medium")))</f>
        <v/>
      </c>
      <c r="H36" s="4"/>
    </row>
    <row r="37" spans="2:8" ht="48" customHeight="1" x14ac:dyDescent="0.3">
      <c r="B37" s="4"/>
      <c r="C37" s="4"/>
      <c r="D37" s="2" t="str">
        <f>IF(C37="","",IF(SUMPRODUCT(--ISNUMBER(SEARCH({"lift","crane","sling","rigging"},LOWER(C37))))&gt;0,"EHS Observation — Lifting Operations: Unsafe lifting practice observed. Stop-work until lift plan and competent rigger are verified.",IF(SUMPRODUCT(--ISNUMBER(SEARCH({"scaffold"},LOWER(C37))))&gt;0,"EHS Observation — Scaffolding: Incomplete/incorrectly tagged scaffold. Red-tag and prohibit access.",IF(SUMPRODUCT(--ISNUMBER(SEARCH({"excav","trench"},LOWER(C37))))&gt;0,"EHS Observation — Excavation: Inadequate excavation controls. Stop until shoring/services verified.",IF(SUMPRODUCT(--ISNUMBER(SEARCH({"confined","tank","gas test"},LOWER(C37))))&gt;0,"EHS Observation — Confined Space: Uncontrolled entry. Evacuate and re-issue CS PTW.",IF(SUMPRODUCT(--ISNUMBER(SEARCH({"harness","height","edge","roof"},LOWER(C37))))&gt;0,"EHS Observation — Working at Height: Unprotected edge / no 100% tie-off. Life-saving rule breach.",IF(SUMPRODUCT(--ISNUMBER(SEARCH({"electrical","cable","loto"},LOWER(C37))))&gt;0,"EHS Observation — Electrical: Live services without isolation/LOTO.",IF(SUMPRODUCT(--ISNUMBER(SEARCH({"ptw","permit"},LOWER(C37))))&gt;0,"EHS Observation — Work Permit: Missing or expired PTW.","EHS Observation: Unsafe act/condition — make safe and record in tracker."))))))))</f>
        <v/>
      </c>
      <c r="E37" s="2" t="str">
        <f t="shared" si="0"/>
        <v/>
      </c>
      <c r="F37" s="2"/>
      <c r="G37" s="2" t="str">
        <f>IF(C37="","",IF(SUMPRODUCT(--ISNUMBER(SEARCH({"confined","live","no harness","gas"},LOWER(C37))))&gt;0,"Critical",IF(SUMPRODUCT(--ISNUMBER(SEARCH({"scaffold","excav","lift","electrical","ptw"},LOWER(C37))))&gt;0,"High","Medium")))</f>
        <v/>
      </c>
      <c r="H37" s="4"/>
    </row>
    <row r="38" spans="2:8" ht="48" customHeight="1" x14ac:dyDescent="0.3">
      <c r="B38" s="4"/>
      <c r="C38" s="4"/>
      <c r="D38" s="2" t="str">
        <f>IF(C38="","",IF(SUMPRODUCT(--ISNUMBER(SEARCH({"lift","crane","sling","rigging"},LOWER(C38))))&gt;0,"EHS Observation — Lifting Operations: Unsafe lifting practice observed. Stop-work until lift plan and competent rigger are verified.",IF(SUMPRODUCT(--ISNUMBER(SEARCH({"scaffold"},LOWER(C38))))&gt;0,"EHS Observation — Scaffolding: Incomplete/incorrectly tagged scaffold. Red-tag and prohibit access.",IF(SUMPRODUCT(--ISNUMBER(SEARCH({"excav","trench"},LOWER(C38))))&gt;0,"EHS Observation — Excavation: Inadequate excavation controls. Stop until shoring/services verified.",IF(SUMPRODUCT(--ISNUMBER(SEARCH({"confined","tank","gas test"},LOWER(C38))))&gt;0,"EHS Observation — Confined Space: Uncontrolled entry. Evacuate and re-issue CS PTW.",IF(SUMPRODUCT(--ISNUMBER(SEARCH({"harness","height","edge","roof"},LOWER(C38))))&gt;0,"EHS Observation — Working at Height: Unprotected edge / no 100% tie-off. Life-saving rule breach.",IF(SUMPRODUCT(--ISNUMBER(SEARCH({"electrical","cable","loto"},LOWER(C38))))&gt;0,"EHS Observation — Electrical: Live services without isolation/LOTO.",IF(SUMPRODUCT(--ISNUMBER(SEARCH({"ptw","permit"},LOWER(C38))))&gt;0,"EHS Observation — Work Permit: Missing or expired PTW.","EHS Observation: Unsafe act/condition — make safe and record in tracker."))))))))</f>
        <v/>
      </c>
      <c r="E38" s="2" t="str">
        <f t="shared" si="0"/>
        <v/>
      </c>
      <c r="F38" s="2"/>
      <c r="G38" s="2" t="str">
        <f>IF(C38="","",IF(SUMPRODUCT(--ISNUMBER(SEARCH({"confined","live","no harness","gas"},LOWER(C38))))&gt;0,"Critical",IF(SUMPRODUCT(--ISNUMBER(SEARCH({"scaffold","excav","lift","electrical","ptw"},LOWER(C38))))&gt;0,"High","Medium")))</f>
        <v/>
      </c>
      <c r="H38" s="4"/>
    </row>
    <row r="39" spans="2:8" ht="48" customHeight="1" x14ac:dyDescent="0.3">
      <c r="B39" s="4"/>
      <c r="C39" s="4"/>
      <c r="D39" s="2" t="str">
        <f>IF(C39="","",IF(SUMPRODUCT(--ISNUMBER(SEARCH({"lift","crane","sling","rigging"},LOWER(C39))))&gt;0,"EHS Observation — Lifting Operations: Unsafe lifting practice observed. Stop-work until lift plan and competent rigger are verified.",IF(SUMPRODUCT(--ISNUMBER(SEARCH({"scaffold"},LOWER(C39))))&gt;0,"EHS Observation — Scaffolding: Incomplete/incorrectly tagged scaffold. Red-tag and prohibit access.",IF(SUMPRODUCT(--ISNUMBER(SEARCH({"excav","trench"},LOWER(C39))))&gt;0,"EHS Observation — Excavation: Inadequate excavation controls. Stop until shoring/services verified.",IF(SUMPRODUCT(--ISNUMBER(SEARCH({"confined","tank","gas test"},LOWER(C39))))&gt;0,"EHS Observation — Confined Space: Uncontrolled entry. Evacuate and re-issue CS PTW.",IF(SUMPRODUCT(--ISNUMBER(SEARCH({"harness","height","edge","roof"},LOWER(C39))))&gt;0,"EHS Observation — Working at Height: Unprotected edge / no 100% tie-off. Life-saving rule breach.",IF(SUMPRODUCT(--ISNUMBER(SEARCH({"electrical","cable","loto"},LOWER(C39))))&gt;0,"EHS Observation — Electrical: Live services without isolation/LOTO.",IF(SUMPRODUCT(--ISNUMBER(SEARCH({"ptw","permit"},LOWER(C39))))&gt;0,"EHS Observation — Work Permit: Missing or expired PTW.","EHS Observation: Unsafe act/condition — make safe and record in tracker."))))))))</f>
        <v/>
      </c>
      <c r="E39" s="2" t="str">
        <f t="shared" si="0"/>
        <v/>
      </c>
      <c r="F39" s="2"/>
      <c r="G39" s="2" t="str">
        <f>IF(C39="","",IF(SUMPRODUCT(--ISNUMBER(SEARCH({"confined","live","no harness","gas"},LOWER(C39))))&gt;0,"Critical",IF(SUMPRODUCT(--ISNUMBER(SEARCH({"scaffold","excav","lift","electrical","ptw"},LOWER(C39))))&gt;0,"High","Medium")))</f>
        <v/>
      </c>
      <c r="H39" s="4"/>
    </row>
  </sheetData>
  <mergeCells count="4">
    <mergeCell ref="B4:E4"/>
    <mergeCell ref="B5:E7"/>
    <mergeCell ref="A2:H2"/>
    <mergeCell ref="A1:H1"/>
  </mergeCells>
  <pageMargins left="0.75" right="0.75" top="1" bottom="1" header="0.5" footer="0.5"/>
  <pageSetup paperSize="9" fitToHeight="0" orientation="landscape"/>
  <headerFooter>
    <oddHeader>&amp;LKAZ PP Expansion | EHS</oddHeader>
    <oddFooter>&amp;RConfidential | 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16A085"/>
    <pageSetUpPr fitToPage="1"/>
  </sheetPr>
  <dimension ref="A1:Q79"/>
  <sheetViews>
    <sheetView showGridLines="0" workbookViewId="0">
      <pane ySplit="4" topLeftCell="A5" activePane="bottomLeft" state="frozen"/>
      <selection pane="bottomLeft"/>
    </sheetView>
  </sheetViews>
  <sheetFormatPr defaultRowHeight="13.8" x14ac:dyDescent="0.25"/>
  <cols>
    <col min="1" max="1" width="5" customWidth="1"/>
    <col min="2" max="2" width="10" customWidth="1"/>
    <col min="3" max="3" width="22" customWidth="1"/>
    <col min="4" max="4" width="18" customWidth="1"/>
    <col min="5" max="5" width="22" customWidth="1"/>
    <col min="6" max="6" width="18" customWidth="1"/>
    <col min="7" max="7" width="16" customWidth="1"/>
    <col min="8" max="10" width="14" customWidth="1"/>
    <col min="11" max="11" width="16" customWidth="1"/>
    <col min="12" max="12" width="18" customWidth="1"/>
    <col min="13" max="13" width="16" customWidth="1"/>
    <col min="14" max="14" width="22" customWidth="1"/>
    <col min="16" max="16" width="22" customWidth="1"/>
    <col min="17" max="17" width="12" customWidth="1"/>
  </cols>
  <sheetData>
    <row r="1" spans="1:17" ht="31.95" customHeight="1" x14ac:dyDescent="0.25">
      <c r="A1" s="29" t="s">
        <v>466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7" ht="19.95" customHeight="1" x14ac:dyDescent="0.25">
      <c r="A2" s="34" t="s">
        <v>467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4" spans="1:17" ht="14.4" x14ac:dyDescent="0.3">
      <c r="B4" s="5" t="s">
        <v>468</v>
      </c>
      <c r="C4" s="5" t="s">
        <v>469</v>
      </c>
      <c r="D4" s="5" t="s">
        <v>470</v>
      </c>
      <c r="E4" s="5" t="s">
        <v>471</v>
      </c>
      <c r="F4" s="5" t="s">
        <v>472</v>
      </c>
      <c r="G4" s="5" t="s">
        <v>473</v>
      </c>
      <c r="H4" s="5" t="s">
        <v>474</v>
      </c>
      <c r="I4" s="5" t="s">
        <v>475</v>
      </c>
      <c r="J4" s="5" t="s">
        <v>476</v>
      </c>
      <c r="K4" s="5" t="s">
        <v>111</v>
      </c>
      <c r="L4" s="5" t="s">
        <v>477</v>
      </c>
      <c r="M4" s="5" t="s">
        <v>478</v>
      </c>
      <c r="N4" s="5" t="s">
        <v>282</v>
      </c>
      <c r="P4" t="s">
        <v>479</v>
      </c>
      <c r="Q4" s="2">
        <f ca="1">COUNTIF(K5:K80,"EXPIRED")+COUNTIF(K5:K80,"CRITICAL ≤7d")</f>
        <v>6</v>
      </c>
    </row>
    <row r="5" spans="1:17" ht="14.4" x14ac:dyDescent="0.3">
      <c r="B5" s="4" t="s">
        <v>480</v>
      </c>
      <c r="C5" s="4" t="s">
        <v>481</v>
      </c>
      <c r="D5" s="4" t="s">
        <v>482</v>
      </c>
      <c r="E5" s="4" t="s">
        <v>121</v>
      </c>
      <c r="F5" s="4" t="s">
        <v>151</v>
      </c>
      <c r="G5" s="4" t="s">
        <v>483</v>
      </c>
      <c r="H5" s="16">
        <v>45809</v>
      </c>
      <c r="I5" s="16">
        <v>46174</v>
      </c>
      <c r="J5" s="2">
        <f t="shared" ref="J5:J36" ca="1" si="0">IF(I5="","",I5-TODAY())</f>
        <v>-101</v>
      </c>
      <c r="K5" s="2" t="str">
        <f ca="1">IF(I5="","",IF(J5&lt;0,"EXPIRED",IF(J5&lt;=Admin!$C$13,"CRITICAL ≤7d",IF(J5&lt;=Admin!$C$12,"WARNING ≤30d","VALID"))))</f>
        <v>EXPIRED</v>
      </c>
      <c r="M5" s="3">
        <f>IF(I5="","",I5-Admin!$C$12)</f>
        <v>46144</v>
      </c>
      <c r="P5" t="s">
        <v>484</v>
      </c>
      <c r="Q5" s="2">
        <f ca="1">COUNTIF(K5:K80,"WARNING ≤30d")</f>
        <v>0</v>
      </c>
    </row>
    <row r="6" spans="1:17" ht="14.4" x14ac:dyDescent="0.3">
      <c r="B6" s="4" t="s">
        <v>485</v>
      </c>
      <c r="C6" s="4" t="s">
        <v>486</v>
      </c>
      <c r="D6" s="4" t="s">
        <v>487</v>
      </c>
      <c r="E6" s="4" t="s">
        <v>127</v>
      </c>
      <c r="F6" s="4" t="s">
        <v>151</v>
      </c>
      <c r="G6" s="4" t="s">
        <v>488</v>
      </c>
      <c r="H6" s="16">
        <v>45757</v>
      </c>
      <c r="I6" s="16">
        <v>46122</v>
      </c>
      <c r="J6" s="2">
        <f t="shared" ca="1" si="0"/>
        <v>-153</v>
      </c>
      <c r="K6" s="2" t="str">
        <f ca="1">IF(I6="","",IF(J6&lt;0,"EXPIRED",IF(J6&lt;=Admin!$C$13,"CRITICAL ≤7d",IF(J6&lt;=Admin!$C$12,"WARNING ≤30d","VALID"))))</f>
        <v>EXPIRED</v>
      </c>
      <c r="M6" s="3">
        <f>IF(I6="","",I6-Admin!$C$12)</f>
        <v>46092</v>
      </c>
    </row>
    <row r="7" spans="1:17" ht="14.4" x14ac:dyDescent="0.3">
      <c r="B7" s="4" t="s">
        <v>489</v>
      </c>
      <c r="C7" s="4" t="s">
        <v>490</v>
      </c>
      <c r="D7" s="4" t="s">
        <v>491</v>
      </c>
      <c r="E7" s="4" t="s">
        <v>134</v>
      </c>
      <c r="F7" s="4" t="s">
        <v>92</v>
      </c>
      <c r="G7" s="4" t="s">
        <v>492</v>
      </c>
      <c r="H7" s="16">
        <v>45901</v>
      </c>
      <c r="I7" s="16">
        <v>46101</v>
      </c>
      <c r="J7" s="2">
        <f t="shared" ca="1" si="0"/>
        <v>-174</v>
      </c>
      <c r="K7" s="2" t="str">
        <f ca="1">IF(I7="","",IF(J7&lt;0,"EXPIRED",IF(J7&lt;=Admin!$C$13,"CRITICAL ≤7d",IF(J7&lt;=Admin!$C$12,"WARNING ≤30d","VALID"))))</f>
        <v>EXPIRED</v>
      </c>
      <c r="M7" s="3">
        <f>IF(I7="","",I7-Admin!$C$12)</f>
        <v>46071</v>
      </c>
    </row>
    <row r="8" spans="1:17" ht="14.4" x14ac:dyDescent="0.3">
      <c r="B8" s="4" t="s">
        <v>493</v>
      </c>
      <c r="C8" s="4" t="s">
        <v>494</v>
      </c>
      <c r="D8" s="4" t="s">
        <v>495</v>
      </c>
      <c r="E8" s="4" t="s">
        <v>141</v>
      </c>
      <c r="F8" s="4" t="s">
        <v>140</v>
      </c>
      <c r="G8" s="4" t="s">
        <v>496</v>
      </c>
      <c r="H8" s="16">
        <v>45627</v>
      </c>
      <c r="I8" s="16">
        <v>46096</v>
      </c>
      <c r="J8" s="2">
        <f t="shared" ca="1" si="0"/>
        <v>-179</v>
      </c>
      <c r="K8" s="2" t="str">
        <f ca="1">IF(I8="","",IF(J8&lt;0,"EXPIRED",IF(J8&lt;=Admin!$C$13,"CRITICAL ≤7d",IF(J8&lt;=Admin!$C$12,"WARNING ≤30d","VALID"))))</f>
        <v>EXPIRED</v>
      </c>
      <c r="M8" s="3">
        <f>IF(I8="","",I8-Admin!$C$12)</f>
        <v>46066</v>
      </c>
    </row>
    <row r="9" spans="1:17" ht="14.4" x14ac:dyDescent="0.3">
      <c r="B9" s="4" t="s">
        <v>497</v>
      </c>
      <c r="C9" s="4" t="s">
        <v>498</v>
      </c>
      <c r="D9" s="4" t="s">
        <v>499</v>
      </c>
      <c r="E9" s="4" t="s">
        <v>145</v>
      </c>
      <c r="F9" s="4" t="s">
        <v>147</v>
      </c>
      <c r="G9" s="4" t="s">
        <v>500</v>
      </c>
      <c r="H9" s="16">
        <v>45672</v>
      </c>
      <c r="I9" s="16">
        <v>46037</v>
      </c>
      <c r="J9" s="2">
        <f t="shared" ca="1" si="0"/>
        <v>-238</v>
      </c>
      <c r="K9" s="2" t="str">
        <f ca="1">IF(I9="","",IF(J9&lt;0,"EXPIRED",IF(J9&lt;=Admin!$C$13,"CRITICAL ≤7d",IF(J9&lt;=Admin!$C$12,"WARNING ≤30d","VALID"))))</f>
        <v>EXPIRED</v>
      </c>
      <c r="M9" s="3">
        <f>IF(I9="","",I9-Admin!$C$12)</f>
        <v>46007</v>
      </c>
    </row>
    <row r="10" spans="1:17" ht="14.4" x14ac:dyDescent="0.3">
      <c r="B10" s="4" t="s">
        <v>501</v>
      </c>
      <c r="C10" s="4" t="s">
        <v>502</v>
      </c>
      <c r="D10" s="4" t="s">
        <v>503</v>
      </c>
      <c r="E10" s="4" t="s">
        <v>149</v>
      </c>
      <c r="F10" s="4" t="s">
        <v>143</v>
      </c>
      <c r="G10" s="4" t="s">
        <v>504</v>
      </c>
      <c r="H10" s="16">
        <v>45839</v>
      </c>
      <c r="I10" s="16">
        <v>46569</v>
      </c>
      <c r="J10" s="2">
        <f t="shared" ca="1" si="0"/>
        <v>294</v>
      </c>
      <c r="K10" s="2" t="str">
        <f ca="1">IF(I10="","",IF(J10&lt;0,"EXPIRED",IF(J10&lt;=Admin!$C$13,"CRITICAL ≤7d",IF(J10&lt;=Admin!$C$12,"WARNING ≤30d","VALID"))))</f>
        <v>VALID</v>
      </c>
      <c r="M10" s="3">
        <f>IF(I10="","",I10-Admin!$C$12)</f>
        <v>46539</v>
      </c>
    </row>
    <row r="11" spans="1:17" ht="14.4" x14ac:dyDescent="0.3">
      <c r="B11" s="4" t="s">
        <v>505</v>
      </c>
      <c r="C11" s="4" t="s">
        <v>506</v>
      </c>
      <c r="D11" s="4" t="s">
        <v>507</v>
      </c>
      <c r="E11" s="4" t="s">
        <v>174</v>
      </c>
      <c r="F11" s="4" t="s">
        <v>92</v>
      </c>
      <c r="G11" s="4" t="s">
        <v>508</v>
      </c>
      <c r="H11" s="16">
        <v>45413</v>
      </c>
      <c r="I11" s="16">
        <v>47239</v>
      </c>
      <c r="J11" s="2">
        <f t="shared" ca="1" si="0"/>
        <v>964</v>
      </c>
      <c r="K11" s="2" t="str">
        <f ca="1">IF(I11="","",IF(J11&lt;0,"EXPIRED",IF(J11&lt;=Admin!$C$13,"CRITICAL ≤7d",IF(J11&lt;=Admin!$C$12,"WARNING ≤30d","VALID"))))</f>
        <v>VALID</v>
      </c>
      <c r="M11" s="3">
        <f>IF(I11="","",I11-Admin!$C$12)</f>
        <v>47209</v>
      </c>
    </row>
    <row r="12" spans="1:17" ht="14.4" x14ac:dyDescent="0.3">
      <c r="B12" s="4" t="s">
        <v>509</v>
      </c>
      <c r="C12" s="4" t="s">
        <v>510</v>
      </c>
      <c r="D12" s="4" t="s">
        <v>511</v>
      </c>
      <c r="E12" s="4" t="s">
        <v>183</v>
      </c>
      <c r="F12" s="4" t="s">
        <v>93</v>
      </c>
      <c r="G12" s="4" t="s">
        <v>512</v>
      </c>
      <c r="H12" s="16">
        <v>45931</v>
      </c>
      <c r="I12" s="16">
        <v>46113</v>
      </c>
      <c r="J12" s="2">
        <f t="shared" ca="1" si="0"/>
        <v>-162</v>
      </c>
      <c r="K12" s="2" t="str">
        <f ca="1">IF(I12="","",IF(J12&lt;0,"EXPIRED",IF(J12&lt;=Admin!$C$13,"CRITICAL ≤7d",IF(J12&lt;=Admin!$C$12,"WARNING ≤30d","VALID"))))</f>
        <v>EXPIRED</v>
      </c>
      <c r="M12" s="3">
        <f>IF(I12="","",I12-Admin!$C$12)</f>
        <v>46083</v>
      </c>
    </row>
    <row r="13" spans="1:17" ht="14.4" x14ac:dyDescent="0.3">
      <c r="B13" s="4"/>
      <c r="C13" s="4"/>
      <c r="D13" s="4"/>
      <c r="E13" s="4"/>
      <c r="F13" s="4"/>
      <c r="G13" s="4"/>
      <c r="H13" s="16"/>
      <c r="I13" s="16"/>
      <c r="J13" s="2" t="str">
        <f t="shared" ca="1" si="0"/>
        <v/>
      </c>
      <c r="K13" s="2" t="str">
        <f>IF(I13="","",IF(J13&lt;0,"EXPIRED",IF(J13&lt;=Admin!$C$13,"CRITICAL ≤7d",IF(J13&lt;=Admin!$C$12,"WARNING ≤30d","VALID"))))</f>
        <v/>
      </c>
      <c r="L13" s="4"/>
      <c r="M13" s="3" t="str">
        <f>IF(I13="","",I13-Admin!$C$12)</f>
        <v/>
      </c>
      <c r="N13" s="4"/>
    </row>
    <row r="14" spans="1:17" ht="14.4" x14ac:dyDescent="0.3">
      <c r="B14" s="4"/>
      <c r="C14" s="4"/>
      <c r="D14" s="4"/>
      <c r="E14" s="4"/>
      <c r="F14" s="4"/>
      <c r="G14" s="4"/>
      <c r="H14" s="16"/>
      <c r="I14" s="16"/>
      <c r="J14" s="2" t="str">
        <f t="shared" ca="1" si="0"/>
        <v/>
      </c>
      <c r="K14" s="2" t="str">
        <f>IF(I14="","",IF(J14&lt;0,"EXPIRED",IF(J14&lt;=Admin!$C$13,"CRITICAL ≤7d",IF(J14&lt;=Admin!$C$12,"WARNING ≤30d","VALID"))))</f>
        <v/>
      </c>
      <c r="L14" s="4"/>
      <c r="M14" s="3" t="str">
        <f>IF(I14="","",I14-Admin!$C$12)</f>
        <v/>
      </c>
      <c r="N14" s="4"/>
    </row>
    <row r="15" spans="1:17" ht="14.4" x14ac:dyDescent="0.3">
      <c r="B15" s="4"/>
      <c r="C15" s="4"/>
      <c r="D15" s="4"/>
      <c r="E15" s="4"/>
      <c r="F15" s="4"/>
      <c r="G15" s="4"/>
      <c r="H15" s="16"/>
      <c r="I15" s="16"/>
      <c r="J15" s="2" t="str">
        <f t="shared" ca="1" si="0"/>
        <v/>
      </c>
      <c r="K15" s="2" t="str">
        <f>IF(I15="","",IF(J15&lt;0,"EXPIRED",IF(J15&lt;=Admin!$C$13,"CRITICAL ≤7d",IF(J15&lt;=Admin!$C$12,"WARNING ≤30d","VALID"))))</f>
        <v/>
      </c>
      <c r="L15" s="4"/>
      <c r="M15" s="3" t="str">
        <f>IF(I15="","",I15-Admin!$C$12)</f>
        <v/>
      </c>
      <c r="N15" s="4"/>
    </row>
    <row r="16" spans="1:17" ht="14.4" x14ac:dyDescent="0.3">
      <c r="B16" s="4"/>
      <c r="C16" s="4"/>
      <c r="D16" s="4"/>
      <c r="E16" s="4"/>
      <c r="F16" s="4"/>
      <c r="G16" s="4"/>
      <c r="H16" s="16"/>
      <c r="I16" s="16"/>
      <c r="J16" s="2" t="str">
        <f t="shared" ca="1" si="0"/>
        <v/>
      </c>
      <c r="K16" s="2" t="str">
        <f>IF(I16="","",IF(J16&lt;0,"EXPIRED",IF(J16&lt;=Admin!$C$13,"CRITICAL ≤7d",IF(J16&lt;=Admin!$C$12,"WARNING ≤30d","VALID"))))</f>
        <v/>
      </c>
      <c r="L16" s="4"/>
      <c r="M16" s="3" t="str">
        <f>IF(I16="","",I16-Admin!$C$12)</f>
        <v/>
      </c>
      <c r="N16" s="4"/>
    </row>
    <row r="17" spans="2:14" ht="14.4" x14ac:dyDescent="0.3">
      <c r="B17" s="4"/>
      <c r="C17" s="4"/>
      <c r="D17" s="4"/>
      <c r="E17" s="4"/>
      <c r="F17" s="4"/>
      <c r="G17" s="4"/>
      <c r="H17" s="16"/>
      <c r="I17" s="16"/>
      <c r="J17" s="2" t="str">
        <f t="shared" ca="1" si="0"/>
        <v/>
      </c>
      <c r="K17" s="2" t="str">
        <f>IF(I17="","",IF(J17&lt;0,"EXPIRED",IF(J17&lt;=Admin!$C$13,"CRITICAL ≤7d",IF(J17&lt;=Admin!$C$12,"WARNING ≤30d","VALID"))))</f>
        <v/>
      </c>
      <c r="L17" s="4"/>
      <c r="M17" s="3" t="str">
        <f>IF(I17="","",I17-Admin!$C$12)</f>
        <v/>
      </c>
      <c r="N17" s="4"/>
    </row>
    <row r="18" spans="2:14" ht="14.4" x14ac:dyDescent="0.3">
      <c r="B18" s="4"/>
      <c r="C18" s="4"/>
      <c r="D18" s="4"/>
      <c r="E18" s="4"/>
      <c r="F18" s="4"/>
      <c r="G18" s="4"/>
      <c r="H18" s="16"/>
      <c r="I18" s="16"/>
      <c r="J18" s="2" t="str">
        <f t="shared" ca="1" si="0"/>
        <v/>
      </c>
      <c r="K18" s="2" t="str">
        <f>IF(I18="","",IF(J18&lt;0,"EXPIRED",IF(J18&lt;=Admin!$C$13,"CRITICAL ≤7d",IF(J18&lt;=Admin!$C$12,"WARNING ≤30d","VALID"))))</f>
        <v/>
      </c>
      <c r="L18" s="4"/>
      <c r="M18" s="3" t="str">
        <f>IF(I18="","",I18-Admin!$C$12)</f>
        <v/>
      </c>
      <c r="N18" s="4"/>
    </row>
    <row r="19" spans="2:14" ht="14.4" x14ac:dyDescent="0.3">
      <c r="B19" s="4"/>
      <c r="C19" s="4"/>
      <c r="D19" s="4"/>
      <c r="E19" s="4"/>
      <c r="F19" s="4"/>
      <c r="G19" s="4"/>
      <c r="H19" s="16"/>
      <c r="I19" s="16"/>
      <c r="J19" s="2" t="str">
        <f t="shared" ca="1" si="0"/>
        <v/>
      </c>
      <c r="K19" s="2" t="str">
        <f>IF(I19="","",IF(J19&lt;0,"EXPIRED",IF(J19&lt;=Admin!$C$13,"CRITICAL ≤7d",IF(J19&lt;=Admin!$C$12,"WARNING ≤30d","VALID"))))</f>
        <v/>
      </c>
      <c r="L19" s="4"/>
      <c r="M19" s="3" t="str">
        <f>IF(I19="","",I19-Admin!$C$12)</f>
        <v/>
      </c>
      <c r="N19" s="4"/>
    </row>
    <row r="20" spans="2:14" ht="14.4" x14ac:dyDescent="0.3">
      <c r="B20" s="4"/>
      <c r="C20" s="4"/>
      <c r="D20" s="4"/>
      <c r="E20" s="4"/>
      <c r="F20" s="4"/>
      <c r="G20" s="4"/>
      <c r="H20" s="16"/>
      <c r="I20" s="16"/>
      <c r="J20" s="2" t="str">
        <f t="shared" ca="1" si="0"/>
        <v/>
      </c>
      <c r="K20" s="2" t="str">
        <f>IF(I20="","",IF(J20&lt;0,"EXPIRED",IF(J20&lt;=Admin!$C$13,"CRITICAL ≤7d",IF(J20&lt;=Admin!$C$12,"WARNING ≤30d","VALID"))))</f>
        <v/>
      </c>
      <c r="L20" s="4"/>
      <c r="M20" s="3" t="str">
        <f>IF(I20="","",I20-Admin!$C$12)</f>
        <v/>
      </c>
      <c r="N20" s="4"/>
    </row>
    <row r="21" spans="2:14" ht="14.4" x14ac:dyDescent="0.3">
      <c r="B21" s="4"/>
      <c r="C21" s="4"/>
      <c r="D21" s="4"/>
      <c r="E21" s="4"/>
      <c r="F21" s="4"/>
      <c r="G21" s="4"/>
      <c r="H21" s="16"/>
      <c r="I21" s="16"/>
      <c r="J21" s="2" t="str">
        <f t="shared" ca="1" si="0"/>
        <v/>
      </c>
      <c r="K21" s="2" t="str">
        <f>IF(I21="","",IF(J21&lt;0,"EXPIRED",IF(J21&lt;=Admin!$C$13,"CRITICAL ≤7d",IF(J21&lt;=Admin!$C$12,"WARNING ≤30d","VALID"))))</f>
        <v/>
      </c>
      <c r="L21" s="4"/>
      <c r="M21" s="3" t="str">
        <f>IF(I21="","",I21-Admin!$C$12)</f>
        <v/>
      </c>
      <c r="N21" s="4"/>
    </row>
    <row r="22" spans="2:14" ht="14.4" x14ac:dyDescent="0.3">
      <c r="B22" s="4"/>
      <c r="C22" s="4"/>
      <c r="D22" s="4"/>
      <c r="E22" s="4"/>
      <c r="F22" s="4"/>
      <c r="G22" s="4"/>
      <c r="H22" s="16"/>
      <c r="I22" s="16"/>
      <c r="J22" s="2" t="str">
        <f t="shared" ca="1" si="0"/>
        <v/>
      </c>
      <c r="K22" s="2" t="str">
        <f>IF(I22="","",IF(J22&lt;0,"EXPIRED",IF(J22&lt;=Admin!$C$13,"CRITICAL ≤7d",IF(J22&lt;=Admin!$C$12,"WARNING ≤30d","VALID"))))</f>
        <v/>
      </c>
      <c r="L22" s="4"/>
      <c r="M22" s="3" t="str">
        <f>IF(I22="","",I22-Admin!$C$12)</f>
        <v/>
      </c>
      <c r="N22" s="4"/>
    </row>
    <row r="23" spans="2:14" ht="14.4" x14ac:dyDescent="0.3">
      <c r="B23" s="4"/>
      <c r="C23" s="4"/>
      <c r="D23" s="4"/>
      <c r="E23" s="4"/>
      <c r="F23" s="4"/>
      <c r="G23" s="4"/>
      <c r="H23" s="16"/>
      <c r="I23" s="16"/>
      <c r="J23" s="2" t="str">
        <f t="shared" ca="1" si="0"/>
        <v/>
      </c>
      <c r="K23" s="2" t="str">
        <f>IF(I23="","",IF(J23&lt;0,"EXPIRED",IF(J23&lt;=Admin!$C$13,"CRITICAL ≤7d",IF(J23&lt;=Admin!$C$12,"WARNING ≤30d","VALID"))))</f>
        <v/>
      </c>
      <c r="L23" s="4"/>
      <c r="M23" s="3" t="str">
        <f>IF(I23="","",I23-Admin!$C$12)</f>
        <v/>
      </c>
      <c r="N23" s="4"/>
    </row>
    <row r="24" spans="2:14" ht="14.4" x14ac:dyDescent="0.3">
      <c r="B24" s="4"/>
      <c r="C24" s="4"/>
      <c r="D24" s="4"/>
      <c r="E24" s="4"/>
      <c r="F24" s="4"/>
      <c r="G24" s="4"/>
      <c r="H24" s="16"/>
      <c r="I24" s="16"/>
      <c r="J24" s="2" t="str">
        <f t="shared" ca="1" si="0"/>
        <v/>
      </c>
      <c r="K24" s="2" t="str">
        <f>IF(I24="","",IF(J24&lt;0,"EXPIRED",IF(J24&lt;=Admin!$C$13,"CRITICAL ≤7d",IF(J24&lt;=Admin!$C$12,"WARNING ≤30d","VALID"))))</f>
        <v/>
      </c>
      <c r="L24" s="4"/>
      <c r="M24" s="3" t="str">
        <f>IF(I24="","",I24-Admin!$C$12)</f>
        <v/>
      </c>
      <c r="N24" s="4"/>
    </row>
    <row r="25" spans="2:14" ht="14.4" x14ac:dyDescent="0.3">
      <c r="B25" s="4"/>
      <c r="C25" s="4"/>
      <c r="D25" s="4"/>
      <c r="E25" s="4"/>
      <c r="F25" s="4"/>
      <c r="G25" s="4"/>
      <c r="H25" s="16"/>
      <c r="I25" s="16"/>
      <c r="J25" s="2" t="str">
        <f t="shared" ca="1" si="0"/>
        <v/>
      </c>
      <c r="K25" s="2" t="str">
        <f>IF(I25="","",IF(J25&lt;0,"EXPIRED",IF(J25&lt;=Admin!$C$13,"CRITICAL ≤7d",IF(J25&lt;=Admin!$C$12,"WARNING ≤30d","VALID"))))</f>
        <v/>
      </c>
      <c r="L25" s="4"/>
      <c r="M25" s="3" t="str">
        <f>IF(I25="","",I25-Admin!$C$12)</f>
        <v/>
      </c>
      <c r="N25" s="4"/>
    </row>
    <row r="26" spans="2:14" ht="14.4" x14ac:dyDescent="0.3">
      <c r="B26" s="4"/>
      <c r="C26" s="4"/>
      <c r="D26" s="4"/>
      <c r="E26" s="4"/>
      <c r="F26" s="4"/>
      <c r="G26" s="4"/>
      <c r="H26" s="16"/>
      <c r="I26" s="16"/>
      <c r="J26" s="2" t="str">
        <f t="shared" ca="1" si="0"/>
        <v/>
      </c>
      <c r="K26" s="2" t="str">
        <f>IF(I26="","",IF(J26&lt;0,"EXPIRED",IF(J26&lt;=Admin!$C$13,"CRITICAL ≤7d",IF(J26&lt;=Admin!$C$12,"WARNING ≤30d","VALID"))))</f>
        <v/>
      </c>
      <c r="L26" s="4"/>
      <c r="M26" s="3" t="str">
        <f>IF(I26="","",I26-Admin!$C$12)</f>
        <v/>
      </c>
      <c r="N26" s="4"/>
    </row>
    <row r="27" spans="2:14" ht="14.4" x14ac:dyDescent="0.3">
      <c r="B27" s="4"/>
      <c r="C27" s="4"/>
      <c r="D27" s="4"/>
      <c r="E27" s="4"/>
      <c r="F27" s="4"/>
      <c r="G27" s="4"/>
      <c r="H27" s="16"/>
      <c r="I27" s="16"/>
      <c r="J27" s="2" t="str">
        <f t="shared" ca="1" si="0"/>
        <v/>
      </c>
      <c r="K27" s="2" t="str">
        <f>IF(I27="","",IF(J27&lt;0,"EXPIRED",IF(J27&lt;=Admin!$C$13,"CRITICAL ≤7d",IF(J27&lt;=Admin!$C$12,"WARNING ≤30d","VALID"))))</f>
        <v/>
      </c>
      <c r="L27" s="4"/>
      <c r="M27" s="3" t="str">
        <f>IF(I27="","",I27-Admin!$C$12)</f>
        <v/>
      </c>
      <c r="N27" s="4"/>
    </row>
    <row r="28" spans="2:14" ht="14.4" x14ac:dyDescent="0.3">
      <c r="B28" s="4"/>
      <c r="C28" s="4"/>
      <c r="D28" s="4"/>
      <c r="E28" s="4"/>
      <c r="F28" s="4"/>
      <c r="G28" s="4"/>
      <c r="H28" s="16"/>
      <c r="I28" s="16"/>
      <c r="J28" s="2" t="str">
        <f t="shared" ca="1" si="0"/>
        <v/>
      </c>
      <c r="K28" s="2" t="str">
        <f>IF(I28="","",IF(J28&lt;0,"EXPIRED",IF(J28&lt;=Admin!$C$13,"CRITICAL ≤7d",IF(J28&lt;=Admin!$C$12,"WARNING ≤30d","VALID"))))</f>
        <v/>
      </c>
      <c r="L28" s="4"/>
      <c r="M28" s="3" t="str">
        <f>IF(I28="","",I28-Admin!$C$12)</f>
        <v/>
      </c>
      <c r="N28" s="4"/>
    </row>
    <row r="29" spans="2:14" ht="14.4" x14ac:dyDescent="0.3">
      <c r="B29" s="4"/>
      <c r="C29" s="4"/>
      <c r="D29" s="4"/>
      <c r="E29" s="4"/>
      <c r="F29" s="4"/>
      <c r="G29" s="4"/>
      <c r="H29" s="16"/>
      <c r="I29" s="16"/>
      <c r="J29" s="2" t="str">
        <f t="shared" ca="1" si="0"/>
        <v/>
      </c>
      <c r="K29" s="2" t="str">
        <f>IF(I29="","",IF(J29&lt;0,"EXPIRED",IF(J29&lt;=Admin!$C$13,"CRITICAL ≤7d",IF(J29&lt;=Admin!$C$12,"WARNING ≤30d","VALID"))))</f>
        <v/>
      </c>
      <c r="L29" s="4"/>
      <c r="M29" s="3" t="str">
        <f>IF(I29="","",I29-Admin!$C$12)</f>
        <v/>
      </c>
      <c r="N29" s="4"/>
    </row>
    <row r="30" spans="2:14" ht="14.4" x14ac:dyDescent="0.3">
      <c r="B30" s="4"/>
      <c r="C30" s="4"/>
      <c r="D30" s="4"/>
      <c r="E30" s="4"/>
      <c r="F30" s="4"/>
      <c r="G30" s="4"/>
      <c r="H30" s="16"/>
      <c r="I30" s="16"/>
      <c r="J30" s="2" t="str">
        <f t="shared" ca="1" si="0"/>
        <v/>
      </c>
      <c r="K30" s="2" t="str">
        <f>IF(I30="","",IF(J30&lt;0,"EXPIRED",IF(J30&lt;=Admin!$C$13,"CRITICAL ≤7d",IF(J30&lt;=Admin!$C$12,"WARNING ≤30d","VALID"))))</f>
        <v/>
      </c>
      <c r="L30" s="4"/>
      <c r="M30" s="3" t="str">
        <f>IF(I30="","",I30-Admin!$C$12)</f>
        <v/>
      </c>
      <c r="N30" s="4"/>
    </row>
    <row r="31" spans="2:14" ht="14.4" x14ac:dyDescent="0.3">
      <c r="B31" s="4"/>
      <c r="C31" s="4"/>
      <c r="D31" s="4"/>
      <c r="E31" s="4"/>
      <c r="F31" s="4"/>
      <c r="G31" s="4"/>
      <c r="H31" s="16"/>
      <c r="I31" s="16"/>
      <c r="J31" s="2" t="str">
        <f t="shared" ca="1" si="0"/>
        <v/>
      </c>
      <c r="K31" s="2" t="str">
        <f>IF(I31="","",IF(J31&lt;0,"EXPIRED",IF(J31&lt;=Admin!$C$13,"CRITICAL ≤7d",IF(J31&lt;=Admin!$C$12,"WARNING ≤30d","VALID"))))</f>
        <v/>
      </c>
      <c r="L31" s="4"/>
      <c r="M31" s="3" t="str">
        <f>IF(I31="","",I31-Admin!$C$12)</f>
        <v/>
      </c>
      <c r="N31" s="4"/>
    </row>
    <row r="32" spans="2:14" ht="14.4" x14ac:dyDescent="0.3">
      <c r="B32" s="4"/>
      <c r="C32" s="4"/>
      <c r="D32" s="4"/>
      <c r="E32" s="4"/>
      <c r="F32" s="4"/>
      <c r="G32" s="4"/>
      <c r="H32" s="16"/>
      <c r="I32" s="16"/>
      <c r="J32" s="2" t="str">
        <f t="shared" ca="1" si="0"/>
        <v/>
      </c>
      <c r="K32" s="2" t="str">
        <f>IF(I32="","",IF(J32&lt;0,"EXPIRED",IF(J32&lt;=Admin!$C$13,"CRITICAL ≤7d",IF(J32&lt;=Admin!$C$12,"WARNING ≤30d","VALID"))))</f>
        <v/>
      </c>
      <c r="L32" s="4"/>
      <c r="M32" s="3" t="str">
        <f>IF(I32="","",I32-Admin!$C$12)</f>
        <v/>
      </c>
      <c r="N32" s="4"/>
    </row>
    <row r="33" spans="2:14" ht="14.4" x14ac:dyDescent="0.3">
      <c r="B33" s="4"/>
      <c r="C33" s="4"/>
      <c r="D33" s="4"/>
      <c r="E33" s="4"/>
      <c r="F33" s="4"/>
      <c r="G33" s="4"/>
      <c r="H33" s="16"/>
      <c r="I33" s="16"/>
      <c r="J33" s="2" t="str">
        <f t="shared" ca="1" si="0"/>
        <v/>
      </c>
      <c r="K33" s="2" t="str">
        <f>IF(I33="","",IF(J33&lt;0,"EXPIRED",IF(J33&lt;=Admin!$C$13,"CRITICAL ≤7d",IF(J33&lt;=Admin!$C$12,"WARNING ≤30d","VALID"))))</f>
        <v/>
      </c>
      <c r="L33" s="4"/>
      <c r="M33" s="3" t="str">
        <f>IF(I33="","",I33-Admin!$C$12)</f>
        <v/>
      </c>
      <c r="N33" s="4"/>
    </row>
    <row r="34" spans="2:14" ht="14.4" x14ac:dyDescent="0.3">
      <c r="B34" s="4"/>
      <c r="C34" s="4"/>
      <c r="D34" s="4"/>
      <c r="E34" s="4"/>
      <c r="F34" s="4"/>
      <c r="G34" s="4"/>
      <c r="H34" s="16"/>
      <c r="I34" s="16"/>
      <c r="J34" s="2" t="str">
        <f t="shared" ca="1" si="0"/>
        <v/>
      </c>
      <c r="K34" s="2" t="str">
        <f>IF(I34="","",IF(J34&lt;0,"EXPIRED",IF(J34&lt;=Admin!$C$13,"CRITICAL ≤7d",IF(J34&lt;=Admin!$C$12,"WARNING ≤30d","VALID"))))</f>
        <v/>
      </c>
      <c r="L34" s="4"/>
      <c r="M34" s="3" t="str">
        <f>IF(I34="","",I34-Admin!$C$12)</f>
        <v/>
      </c>
      <c r="N34" s="4"/>
    </row>
    <row r="35" spans="2:14" ht="14.4" x14ac:dyDescent="0.3">
      <c r="B35" s="4"/>
      <c r="C35" s="4"/>
      <c r="D35" s="4"/>
      <c r="E35" s="4"/>
      <c r="F35" s="4"/>
      <c r="G35" s="4"/>
      <c r="H35" s="16"/>
      <c r="I35" s="16"/>
      <c r="J35" s="2" t="str">
        <f t="shared" ca="1" si="0"/>
        <v/>
      </c>
      <c r="K35" s="2" t="str">
        <f>IF(I35="","",IF(J35&lt;0,"EXPIRED",IF(J35&lt;=Admin!$C$13,"CRITICAL ≤7d",IF(J35&lt;=Admin!$C$12,"WARNING ≤30d","VALID"))))</f>
        <v/>
      </c>
      <c r="L35" s="4"/>
      <c r="M35" s="3" t="str">
        <f>IF(I35="","",I35-Admin!$C$12)</f>
        <v/>
      </c>
      <c r="N35" s="4"/>
    </row>
    <row r="36" spans="2:14" ht="14.4" x14ac:dyDescent="0.3">
      <c r="B36" s="4"/>
      <c r="C36" s="4"/>
      <c r="D36" s="4"/>
      <c r="E36" s="4"/>
      <c r="F36" s="4"/>
      <c r="G36" s="4"/>
      <c r="H36" s="16"/>
      <c r="I36" s="16"/>
      <c r="J36" s="2" t="str">
        <f t="shared" ca="1" si="0"/>
        <v/>
      </c>
      <c r="K36" s="2" t="str">
        <f>IF(I36="","",IF(J36&lt;0,"EXPIRED",IF(J36&lt;=Admin!$C$13,"CRITICAL ≤7d",IF(J36&lt;=Admin!$C$12,"WARNING ≤30d","VALID"))))</f>
        <v/>
      </c>
      <c r="L36" s="4"/>
      <c r="M36" s="3" t="str">
        <f>IF(I36="","",I36-Admin!$C$12)</f>
        <v/>
      </c>
      <c r="N36" s="4"/>
    </row>
    <row r="37" spans="2:14" ht="14.4" x14ac:dyDescent="0.3">
      <c r="B37" s="4"/>
      <c r="C37" s="4"/>
      <c r="D37" s="4"/>
      <c r="E37" s="4"/>
      <c r="F37" s="4"/>
      <c r="G37" s="4"/>
      <c r="H37" s="16"/>
      <c r="I37" s="16"/>
      <c r="J37" s="2" t="str">
        <f t="shared" ref="J37:J68" ca="1" si="1">IF(I37="","",I37-TODAY())</f>
        <v/>
      </c>
      <c r="K37" s="2" t="str">
        <f>IF(I37="","",IF(J37&lt;0,"EXPIRED",IF(J37&lt;=Admin!$C$13,"CRITICAL ≤7d",IF(J37&lt;=Admin!$C$12,"WARNING ≤30d","VALID"))))</f>
        <v/>
      </c>
      <c r="L37" s="4"/>
      <c r="M37" s="3" t="str">
        <f>IF(I37="","",I37-Admin!$C$12)</f>
        <v/>
      </c>
      <c r="N37" s="4"/>
    </row>
    <row r="38" spans="2:14" ht="14.4" x14ac:dyDescent="0.3">
      <c r="B38" s="4"/>
      <c r="C38" s="4"/>
      <c r="D38" s="4"/>
      <c r="E38" s="4"/>
      <c r="F38" s="4"/>
      <c r="G38" s="4"/>
      <c r="H38" s="16"/>
      <c r="I38" s="16"/>
      <c r="J38" s="2" t="str">
        <f t="shared" ca="1" si="1"/>
        <v/>
      </c>
      <c r="K38" s="2" t="str">
        <f>IF(I38="","",IF(J38&lt;0,"EXPIRED",IF(J38&lt;=Admin!$C$13,"CRITICAL ≤7d",IF(J38&lt;=Admin!$C$12,"WARNING ≤30d","VALID"))))</f>
        <v/>
      </c>
      <c r="L38" s="4"/>
      <c r="M38" s="3" t="str">
        <f>IF(I38="","",I38-Admin!$C$12)</f>
        <v/>
      </c>
      <c r="N38" s="4"/>
    </row>
    <row r="39" spans="2:14" ht="14.4" x14ac:dyDescent="0.3">
      <c r="B39" s="4"/>
      <c r="C39" s="4"/>
      <c r="D39" s="4"/>
      <c r="E39" s="4"/>
      <c r="F39" s="4"/>
      <c r="G39" s="4"/>
      <c r="H39" s="16"/>
      <c r="I39" s="16"/>
      <c r="J39" s="2" t="str">
        <f t="shared" ca="1" si="1"/>
        <v/>
      </c>
      <c r="K39" s="2" t="str">
        <f>IF(I39="","",IF(J39&lt;0,"EXPIRED",IF(J39&lt;=Admin!$C$13,"CRITICAL ≤7d",IF(J39&lt;=Admin!$C$12,"WARNING ≤30d","VALID"))))</f>
        <v/>
      </c>
      <c r="L39" s="4"/>
      <c r="M39" s="3" t="str">
        <f>IF(I39="","",I39-Admin!$C$12)</f>
        <v/>
      </c>
      <c r="N39" s="4"/>
    </row>
    <row r="40" spans="2:14" ht="14.4" x14ac:dyDescent="0.3">
      <c r="B40" s="4"/>
      <c r="C40" s="4"/>
      <c r="D40" s="4"/>
      <c r="E40" s="4"/>
      <c r="F40" s="4"/>
      <c r="G40" s="4"/>
      <c r="H40" s="16"/>
      <c r="I40" s="16"/>
      <c r="J40" s="2" t="str">
        <f t="shared" ca="1" si="1"/>
        <v/>
      </c>
      <c r="K40" s="2" t="str">
        <f>IF(I40="","",IF(J40&lt;0,"EXPIRED",IF(J40&lt;=Admin!$C$13,"CRITICAL ≤7d",IF(J40&lt;=Admin!$C$12,"WARNING ≤30d","VALID"))))</f>
        <v/>
      </c>
      <c r="L40" s="4"/>
      <c r="M40" s="3" t="str">
        <f>IF(I40="","",I40-Admin!$C$12)</f>
        <v/>
      </c>
      <c r="N40" s="4"/>
    </row>
    <row r="41" spans="2:14" ht="14.4" x14ac:dyDescent="0.3">
      <c r="B41" s="4"/>
      <c r="C41" s="4"/>
      <c r="D41" s="4"/>
      <c r="E41" s="4"/>
      <c r="F41" s="4"/>
      <c r="G41" s="4"/>
      <c r="H41" s="16"/>
      <c r="I41" s="16"/>
      <c r="J41" s="2" t="str">
        <f t="shared" ca="1" si="1"/>
        <v/>
      </c>
      <c r="K41" s="2" t="str">
        <f>IF(I41="","",IF(J41&lt;0,"EXPIRED",IF(J41&lt;=Admin!$C$13,"CRITICAL ≤7d",IF(J41&lt;=Admin!$C$12,"WARNING ≤30d","VALID"))))</f>
        <v/>
      </c>
      <c r="L41" s="4"/>
      <c r="M41" s="3" t="str">
        <f>IF(I41="","",I41-Admin!$C$12)</f>
        <v/>
      </c>
      <c r="N41" s="4"/>
    </row>
    <row r="42" spans="2:14" ht="14.4" x14ac:dyDescent="0.3">
      <c r="B42" s="4"/>
      <c r="C42" s="4"/>
      <c r="D42" s="4"/>
      <c r="E42" s="4"/>
      <c r="F42" s="4"/>
      <c r="G42" s="4"/>
      <c r="H42" s="16"/>
      <c r="I42" s="16"/>
      <c r="J42" s="2" t="str">
        <f t="shared" ca="1" si="1"/>
        <v/>
      </c>
      <c r="K42" s="2" t="str">
        <f>IF(I42="","",IF(J42&lt;0,"EXPIRED",IF(J42&lt;=Admin!$C$13,"CRITICAL ≤7d",IF(J42&lt;=Admin!$C$12,"WARNING ≤30d","VALID"))))</f>
        <v/>
      </c>
      <c r="L42" s="4"/>
      <c r="M42" s="3" t="str">
        <f>IF(I42="","",I42-Admin!$C$12)</f>
        <v/>
      </c>
      <c r="N42" s="4"/>
    </row>
    <row r="43" spans="2:14" ht="14.4" x14ac:dyDescent="0.3">
      <c r="B43" s="4"/>
      <c r="C43" s="4"/>
      <c r="D43" s="4"/>
      <c r="E43" s="4"/>
      <c r="F43" s="4"/>
      <c r="G43" s="4"/>
      <c r="H43" s="16"/>
      <c r="I43" s="16"/>
      <c r="J43" s="2" t="str">
        <f t="shared" ca="1" si="1"/>
        <v/>
      </c>
      <c r="K43" s="2" t="str">
        <f>IF(I43="","",IF(J43&lt;0,"EXPIRED",IF(J43&lt;=Admin!$C$13,"CRITICAL ≤7d",IF(J43&lt;=Admin!$C$12,"WARNING ≤30d","VALID"))))</f>
        <v/>
      </c>
      <c r="L43" s="4"/>
      <c r="M43" s="3" t="str">
        <f>IF(I43="","",I43-Admin!$C$12)</f>
        <v/>
      </c>
      <c r="N43" s="4"/>
    </row>
    <row r="44" spans="2:14" ht="14.4" x14ac:dyDescent="0.3">
      <c r="B44" s="4"/>
      <c r="C44" s="4"/>
      <c r="D44" s="4"/>
      <c r="E44" s="4"/>
      <c r="F44" s="4"/>
      <c r="G44" s="4"/>
      <c r="H44" s="16"/>
      <c r="I44" s="16"/>
      <c r="J44" s="2" t="str">
        <f t="shared" ca="1" si="1"/>
        <v/>
      </c>
      <c r="K44" s="2" t="str">
        <f>IF(I44="","",IF(J44&lt;0,"EXPIRED",IF(J44&lt;=Admin!$C$13,"CRITICAL ≤7d",IF(J44&lt;=Admin!$C$12,"WARNING ≤30d","VALID"))))</f>
        <v/>
      </c>
      <c r="L44" s="4"/>
      <c r="M44" s="3" t="str">
        <f>IF(I44="","",I44-Admin!$C$12)</f>
        <v/>
      </c>
      <c r="N44" s="4"/>
    </row>
    <row r="45" spans="2:14" ht="14.4" x14ac:dyDescent="0.3">
      <c r="B45" s="4"/>
      <c r="C45" s="4"/>
      <c r="D45" s="4"/>
      <c r="E45" s="4"/>
      <c r="F45" s="4"/>
      <c r="G45" s="4"/>
      <c r="H45" s="16"/>
      <c r="I45" s="16"/>
      <c r="J45" s="2" t="str">
        <f t="shared" ca="1" si="1"/>
        <v/>
      </c>
      <c r="K45" s="2" t="str">
        <f>IF(I45="","",IF(J45&lt;0,"EXPIRED",IF(J45&lt;=Admin!$C$13,"CRITICAL ≤7d",IF(J45&lt;=Admin!$C$12,"WARNING ≤30d","VALID"))))</f>
        <v/>
      </c>
      <c r="L45" s="4"/>
      <c r="M45" s="3" t="str">
        <f>IF(I45="","",I45-Admin!$C$12)</f>
        <v/>
      </c>
      <c r="N45" s="4"/>
    </row>
    <row r="46" spans="2:14" ht="14.4" x14ac:dyDescent="0.3">
      <c r="B46" s="4"/>
      <c r="C46" s="4"/>
      <c r="D46" s="4"/>
      <c r="E46" s="4"/>
      <c r="F46" s="4"/>
      <c r="G46" s="4"/>
      <c r="H46" s="16"/>
      <c r="I46" s="16"/>
      <c r="J46" s="2" t="str">
        <f t="shared" ca="1" si="1"/>
        <v/>
      </c>
      <c r="K46" s="2" t="str">
        <f>IF(I46="","",IF(J46&lt;0,"EXPIRED",IF(J46&lt;=Admin!$C$13,"CRITICAL ≤7d",IF(J46&lt;=Admin!$C$12,"WARNING ≤30d","VALID"))))</f>
        <v/>
      </c>
      <c r="L46" s="4"/>
      <c r="M46" s="3" t="str">
        <f>IF(I46="","",I46-Admin!$C$12)</f>
        <v/>
      </c>
      <c r="N46" s="4"/>
    </row>
    <row r="47" spans="2:14" ht="14.4" x14ac:dyDescent="0.3">
      <c r="B47" s="4"/>
      <c r="C47" s="4"/>
      <c r="D47" s="4"/>
      <c r="E47" s="4"/>
      <c r="F47" s="4"/>
      <c r="G47" s="4"/>
      <c r="H47" s="16"/>
      <c r="I47" s="16"/>
      <c r="J47" s="2" t="str">
        <f t="shared" ca="1" si="1"/>
        <v/>
      </c>
      <c r="K47" s="2" t="str">
        <f>IF(I47="","",IF(J47&lt;0,"EXPIRED",IF(J47&lt;=Admin!$C$13,"CRITICAL ≤7d",IF(J47&lt;=Admin!$C$12,"WARNING ≤30d","VALID"))))</f>
        <v/>
      </c>
      <c r="L47" s="4"/>
      <c r="M47" s="3" t="str">
        <f>IF(I47="","",I47-Admin!$C$12)</f>
        <v/>
      </c>
      <c r="N47" s="4"/>
    </row>
    <row r="48" spans="2:14" ht="14.4" x14ac:dyDescent="0.3">
      <c r="B48" s="4"/>
      <c r="C48" s="4"/>
      <c r="D48" s="4"/>
      <c r="E48" s="4"/>
      <c r="F48" s="4"/>
      <c r="G48" s="4"/>
      <c r="H48" s="16"/>
      <c r="I48" s="16"/>
      <c r="J48" s="2" t="str">
        <f t="shared" ca="1" si="1"/>
        <v/>
      </c>
      <c r="K48" s="2" t="str">
        <f>IF(I48="","",IF(J48&lt;0,"EXPIRED",IF(J48&lt;=Admin!$C$13,"CRITICAL ≤7d",IF(J48&lt;=Admin!$C$12,"WARNING ≤30d","VALID"))))</f>
        <v/>
      </c>
      <c r="L48" s="4"/>
      <c r="M48" s="3" t="str">
        <f>IF(I48="","",I48-Admin!$C$12)</f>
        <v/>
      </c>
      <c r="N48" s="4"/>
    </row>
    <row r="49" spans="2:14" ht="14.4" x14ac:dyDescent="0.3">
      <c r="B49" s="4"/>
      <c r="C49" s="4"/>
      <c r="D49" s="4"/>
      <c r="E49" s="4"/>
      <c r="F49" s="4"/>
      <c r="G49" s="4"/>
      <c r="H49" s="16"/>
      <c r="I49" s="16"/>
      <c r="J49" s="2" t="str">
        <f t="shared" ca="1" si="1"/>
        <v/>
      </c>
      <c r="K49" s="2" t="str">
        <f>IF(I49="","",IF(J49&lt;0,"EXPIRED",IF(J49&lt;=Admin!$C$13,"CRITICAL ≤7d",IF(J49&lt;=Admin!$C$12,"WARNING ≤30d","VALID"))))</f>
        <v/>
      </c>
      <c r="L49" s="4"/>
      <c r="M49" s="3" t="str">
        <f>IF(I49="","",I49-Admin!$C$12)</f>
        <v/>
      </c>
      <c r="N49" s="4"/>
    </row>
    <row r="50" spans="2:14" ht="14.4" x14ac:dyDescent="0.3">
      <c r="B50" s="4"/>
      <c r="C50" s="4"/>
      <c r="D50" s="4"/>
      <c r="E50" s="4"/>
      <c r="F50" s="4"/>
      <c r="G50" s="4"/>
      <c r="H50" s="16"/>
      <c r="I50" s="16"/>
      <c r="J50" s="2" t="str">
        <f t="shared" ca="1" si="1"/>
        <v/>
      </c>
      <c r="K50" s="2" t="str">
        <f>IF(I50="","",IF(J50&lt;0,"EXPIRED",IF(J50&lt;=Admin!$C$13,"CRITICAL ≤7d",IF(J50&lt;=Admin!$C$12,"WARNING ≤30d","VALID"))))</f>
        <v/>
      </c>
      <c r="L50" s="4"/>
      <c r="M50" s="3" t="str">
        <f>IF(I50="","",I50-Admin!$C$12)</f>
        <v/>
      </c>
      <c r="N50" s="4"/>
    </row>
    <row r="51" spans="2:14" ht="14.4" x14ac:dyDescent="0.3">
      <c r="B51" s="4"/>
      <c r="C51" s="4"/>
      <c r="D51" s="4"/>
      <c r="E51" s="4"/>
      <c r="F51" s="4"/>
      <c r="G51" s="4"/>
      <c r="H51" s="16"/>
      <c r="I51" s="16"/>
      <c r="J51" s="2" t="str">
        <f t="shared" ca="1" si="1"/>
        <v/>
      </c>
      <c r="K51" s="2" t="str">
        <f>IF(I51="","",IF(J51&lt;0,"EXPIRED",IF(J51&lt;=Admin!$C$13,"CRITICAL ≤7d",IF(J51&lt;=Admin!$C$12,"WARNING ≤30d","VALID"))))</f>
        <v/>
      </c>
      <c r="L51" s="4"/>
      <c r="M51" s="3" t="str">
        <f>IF(I51="","",I51-Admin!$C$12)</f>
        <v/>
      </c>
      <c r="N51" s="4"/>
    </row>
    <row r="52" spans="2:14" ht="14.4" x14ac:dyDescent="0.3">
      <c r="B52" s="4"/>
      <c r="C52" s="4"/>
      <c r="D52" s="4"/>
      <c r="E52" s="4"/>
      <c r="F52" s="4"/>
      <c r="G52" s="4"/>
      <c r="H52" s="16"/>
      <c r="I52" s="16"/>
      <c r="J52" s="2" t="str">
        <f t="shared" ca="1" si="1"/>
        <v/>
      </c>
      <c r="K52" s="2" t="str">
        <f>IF(I52="","",IF(J52&lt;0,"EXPIRED",IF(J52&lt;=Admin!$C$13,"CRITICAL ≤7d",IF(J52&lt;=Admin!$C$12,"WARNING ≤30d","VALID"))))</f>
        <v/>
      </c>
      <c r="L52" s="4"/>
      <c r="M52" s="3" t="str">
        <f>IF(I52="","",I52-Admin!$C$12)</f>
        <v/>
      </c>
      <c r="N52" s="4"/>
    </row>
    <row r="53" spans="2:14" ht="14.4" x14ac:dyDescent="0.3">
      <c r="B53" s="4"/>
      <c r="C53" s="4"/>
      <c r="D53" s="4"/>
      <c r="E53" s="4"/>
      <c r="F53" s="4"/>
      <c r="G53" s="4"/>
      <c r="H53" s="16"/>
      <c r="I53" s="16"/>
      <c r="J53" s="2" t="str">
        <f t="shared" ca="1" si="1"/>
        <v/>
      </c>
      <c r="K53" s="2" t="str">
        <f>IF(I53="","",IF(J53&lt;0,"EXPIRED",IF(J53&lt;=Admin!$C$13,"CRITICAL ≤7d",IF(J53&lt;=Admin!$C$12,"WARNING ≤30d","VALID"))))</f>
        <v/>
      </c>
      <c r="L53" s="4"/>
      <c r="M53" s="3" t="str">
        <f>IF(I53="","",I53-Admin!$C$12)</f>
        <v/>
      </c>
      <c r="N53" s="4"/>
    </row>
    <row r="54" spans="2:14" ht="14.4" x14ac:dyDescent="0.3">
      <c r="B54" s="4"/>
      <c r="C54" s="4"/>
      <c r="D54" s="4"/>
      <c r="E54" s="4"/>
      <c r="F54" s="4"/>
      <c r="G54" s="4"/>
      <c r="H54" s="16"/>
      <c r="I54" s="16"/>
      <c r="J54" s="2" t="str">
        <f t="shared" ca="1" si="1"/>
        <v/>
      </c>
      <c r="K54" s="2" t="str">
        <f>IF(I54="","",IF(J54&lt;0,"EXPIRED",IF(J54&lt;=Admin!$C$13,"CRITICAL ≤7d",IF(J54&lt;=Admin!$C$12,"WARNING ≤30d","VALID"))))</f>
        <v/>
      </c>
      <c r="L54" s="4"/>
      <c r="M54" s="3" t="str">
        <f>IF(I54="","",I54-Admin!$C$12)</f>
        <v/>
      </c>
      <c r="N54" s="4"/>
    </row>
    <row r="55" spans="2:14" ht="14.4" x14ac:dyDescent="0.3">
      <c r="B55" s="4"/>
      <c r="C55" s="4"/>
      <c r="D55" s="4"/>
      <c r="E55" s="4"/>
      <c r="F55" s="4"/>
      <c r="G55" s="4"/>
      <c r="H55" s="16"/>
      <c r="I55" s="16"/>
      <c r="J55" s="2" t="str">
        <f t="shared" ca="1" si="1"/>
        <v/>
      </c>
      <c r="K55" s="2" t="str">
        <f>IF(I55="","",IF(J55&lt;0,"EXPIRED",IF(J55&lt;=Admin!$C$13,"CRITICAL ≤7d",IF(J55&lt;=Admin!$C$12,"WARNING ≤30d","VALID"))))</f>
        <v/>
      </c>
      <c r="L55" s="4"/>
      <c r="M55" s="3" t="str">
        <f>IF(I55="","",I55-Admin!$C$12)</f>
        <v/>
      </c>
      <c r="N55" s="4"/>
    </row>
    <row r="56" spans="2:14" ht="14.4" x14ac:dyDescent="0.3">
      <c r="B56" s="4"/>
      <c r="C56" s="4"/>
      <c r="D56" s="4"/>
      <c r="E56" s="4"/>
      <c r="F56" s="4"/>
      <c r="G56" s="4"/>
      <c r="H56" s="16"/>
      <c r="I56" s="16"/>
      <c r="J56" s="2" t="str">
        <f t="shared" ca="1" si="1"/>
        <v/>
      </c>
      <c r="K56" s="2" t="str">
        <f>IF(I56="","",IF(J56&lt;0,"EXPIRED",IF(J56&lt;=Admin!$C$13,"CRITICAL ≤7d",IF(J56&lt;=Admin!$C$12,"WARNING ≤30d","VALID"))))</f>
        <v/>
      </c>
      <c r="L56" s="4"/>
      <c r="M56" s="3" t="str">
        <f>IF(I56="","",I56-Admin!$C$12)</f>
        <v/>
      </c>
      <c r="N56" s="4"/>
    </row>
    <row r="57" spans="2:14" ht="14.4" x14ac:dyDescent="0.3">
      <c r="B57" s="4"/>
      <c r="C57" s="4"/>
      <c r="D57" s="4"/>
      <c r="E57" s="4"/>
      <c r="F57" s="4"/>
      <c r="G57" s="4"/>
      <c r="H57" s="16"/>
      <c r="I57" s="16"/>
      <c r="J57" s="2" t="str">
        <f t="shared" ca="1" si="1"/>
        <v/>
      </c>
      <c r="K57" s="2" t="str">
        <f>IF(I57="","",IF(J57&lt;0,"EXPIRED",IF(J57&lt;=Admin!$C$13,"CRITICAL ≤7d",IF(J57&lt;=Admin!$C$12,"WARNING ≤30d","VALID"))))</f>
        <v/>
      </c>
      <c r="L57" s="4"/>
      <c r="M57" s="3" t="str">
        <f>IF(I57="","",I57-Admin!$C$12)</f>
        <v/>
      </c>
      <c r="N57" s="4"/>
    </row>
    <row r="58" spans="2:14" ht="14.4" x14ac:dyDescent="0.3">
      <c r="B58" s="4"/>
      <c r="C58" s="4"/>
      <c r="D58" s="4"/>
      <c r="E58" s="4"/>
      <c r="F58" s="4"/>
      <c r="G58" s="4"/>
      <c r="H58" s="16"/>
      <c r="I58" s="16"/>
      <c r="J58" s="2" t="str">
        <f t="shared" ca="1" si="1"/>
        <v/>
      </c>
      <c r="K58" s="2" t="str">
        <f>IF(I58="","",IF(J58&lt;0,"EXPIRED",IF(J58&lt;=Admin!$C$13,"CRITICAL ≤7d",IF(J58&lt;=Admin!$C$12,"WARNING ≤30d","VALID"))))</f>
        <v/>
      </c>
      <c r="L58" s="4"/>
      <c r="M58" s="3" t="str">
        <f>IF(I58="","",I58-Admin!$C$12)</f>
        <v/>
      </c>
      <c r="N58" s="4"/>
    </row>
    <row r="59" spans="2:14" ht="14.4" x14ac:dyDescent="0.3">
      <c r="B59" s="4"/>
      <c r="C59" s="4"/>
      <c r="D59" s="4"/>
      <c r="E59" s="4"/>
      <c r="F59" s="4"/>
      <c r="G59" s="4"/>
      <c r="H59" s="16"/>
      <c r="I59" s="16"/>
      <c r="J59" s="2" t="str">
        <f t="shared" ca="1" si="1"/>
        <v/>
      </c>
      <c r="K59" s="2" t="str">
        <f>IF(I59="","",IF(J59&lt;0,"EXPIRED",IF(J59&lt;=Admin!$C$13,"CRITICAL ≤7d",IF(J59&lt;=Admin!$C$12,"WARNING ≤30d","VALID"))))</f>
        <v/>
      </c>
      <c r="L59" s="4"/>
      <c r="M59" s="3" t="str">
        <f>IF(I59="","",I59-Admin!$C$12)</f>
        <v/>
      </c>
      <c r="N59" s="4"/>
    </row>
    <row r="60" spans="2:14" ht="14.4" x14ac:dyDescent="0.3">
      <c r="B60" s="4"/>
      <c r="C60" s="4"/>
      <c r="D60" s="4"/>
      <c r="E60" s="4"/>
      <c r="F60" s="4"/>
      <c r="G60" s="4"/>
      <c r="H60" s="16"/>
      <c r="I60" s="16"/>
      <c r="J60" s="2" t="str">
        <f t="shared" ca="1" si="1"/>
        <v/>
      </c>
      <c r="K60" s="2" t="str">
        <f>IF(I60="","",IF(J60&lt;0,"EXPIRED",IF(J60&lt;=Admin!$C$13,"CRITICAL ≤7d",IF(J60&lt;=Admin!$C$12,"WARNING ≤30d","VALID"))))</f>
        <v/>
      </c>
      <c r="L60" s="4"/>
      <c r="M60" s="3" t="str">
        <f>IF(I60="","",I60-Admin!$C$12)</f>
        <v/>
      </c>
      <c r="N60" s="4"/>
    </row>
    <row r="61" spans="2:14" ht="14.4" x14ac:dyDescent="0.3">
      <c r="B61" s="4"/>
      <c r="C61" s="4"/>
      <c r="D61" s="4"/>
      <c r="E61" s="4"/>
      <c r="F61" s="4"/>
      <c r="G61" s="4"/>
      <c r="H61" s="16"/>
      <c r="I61" s="16"/>
      <c r="J61" s="2" t="str">
        <f t="shared" ca="1" si="1"/>
        <v/>
      </c>
      <c r="K61" s="2" t="str">
        <f>IF(I61="","",IF(J61&lt;0,"EXPIRED",IF(J61&lt;=Admin!$C$13,"CRITICAL ≤7d",IF(J61&lt;=Admin!$C$12,"WARNING ≤30d","VALID"))))</f>
        <v/>
      </c>
      <c r="L61" s="4"/>
      <c r="M61" s="3" t="str">
        <f>IF(I61="","",I61-Admin!$C$12)</f>
        <v/>
      </c>
      <c r="N61" s="4"/>
    </row>
    <row r="62" spans="2:14" ht="14.4" x14ac:dyDescent="0.3">
      <c r="B62" s="4"/>
      <c r="C62" s="4"/>
      <c r="D62" s="4"/>
      <c r="E62" s="4"/>
      <c r="F62" s="4"/>
      <c r="G62" s="4"/>
      <c r="H62" s="16"/>
      <c r="I62" s="16"/>
      <c r="J62" s="2" t="str">
        <f t="shared" ca="1" si="1"/>
        <v/>
      </c>
      <c r="K62" s="2" t="str">
        <f>IF(I62="","",IF(J62&lt;0,"EXPIRED",IF(J62&lt;=Admin!$C$13,"CRITICAL ≤7d",IF(J62&lt;=Admin!$C$12,"WARNING ≤30d","VALID"))))</f>
        <v/>
      </c>
      <c r="L62" s="4"/>
      <c r="M62" s="3" t="str">
        <f>IF(I62="","",I62-Admin!$C$12)</f>
        <v/>
      </c>
      <c r="N62" s="4"/>
    </row>
    <row r="63" spans="2:14" ht="14.4" x14ac:dyDescent="0.3">
      <c r="B63" s="4"/>
      <c r="C63" s="4"/>
      <c r="D63" s="4"/>
      <c r="E63" s="4"/>
      <c r="F63" s="4"/>
      <c r="G63" s="4"/>
      <c r="H63" s="16"/>
      <c r="I63" s="16"/>
      <c r="J63" s="2" t="str">
        <f t="shared" ca="1" si="1"/>
        <v/>
      </c>
      <c r="K63" s="2" t="str">
        <f>IF(I63="","",IF(J63&lt;0,"EXPIRED",IF(J63&lt;=Admin!$C$13,"CRITICAL ≤7d",IF(J63&lt;=Admin!$C$12,"WARNING ≤30d","VALID"))))</f>
        <v/>
      </c>
      <c r="L63" s="4"/>
      <c r="M63" s="3" t="str">
        <f>IF(I63="","",I63-Admin!$C$12)</f>
        <v/>
      </c>
      <c r="N63" s="4"/>
    </row>
    <row r="64" spans="2:14" ht="14.4" x14ac:dyDescent="0.3">
      <c r="B64" s="4"/>
      <c r="C64" s="4"/>
      <c r="D64" s="4"/>
      <c r="E64" s="4"/>
      <c r="F64" s="4"/>
      <c r="G64" s="4"/>
      <c r="H64" s="16"/>
      <c r="I64" s="16"/>
      <c r="J64" s="2" t="str">
        <f t="shared" ca="1" si="1"/>
        <v/>
      </c>
      <c r="K64" s="2" t="str">
        <f>IF(I64="","",IF(J64&lt;0,"EXPIRED",IF(J64&lt;=Admin!$C$13,"CRITICAL ≤7d",IF(J64&lt;=Admin!$C$12,"WARNING ≤30d","VALID"))))</f>
        <v/>
      </c>
      <c r="L64" s="4"/>
      <c r="M64" s="3" t="str">
        <f>IF(I64="","",I64-Admin!$C$12)</f>
        <v/>
      </c>
      <c r="N64" s="4"/>
    </row>
    <row r="65" spans="2:14" ht="14.4" x14ac:dyDescent="0.3">
      <c r="B65" s="4"/>
      <c r="C65" s="4"/>
      <c r="D65" s="4"/>
      <c r="E65" s="4"/>
      <c r="F65" s="4"/>
      <c r="G65" s="4"/>
      <c r="H65" s="16"/>
      <c r="I65" s="16"/>
      <c r="J65" s="2" t="str">
        <f t="shared" ca="1" si="1"/>
        <v/>
      </c>
      <c r="K65" s="2" t="str">
        <f>IF(I65="","",IF(J65&lt;0,"EXPIRED",IF(J65&lt;=Admin!$C$13,"CRITICAL ≤7d",IF(J65&lt;=Admin!$C$12,"WARNING ≤30d","VALID"))))</f>
        <v/>
      </c>
      <c r="L65" s="4"/>
      <c r="M65" s="3" t="str">
        <f>IF(I65="","",I65-Admin!$C$12)</f>
        <v/>
      </c>
      <c r="N65" s="4"/>
    </row>
    <row r="66" spans="2:14" ht="14.4" x14ac:dyDescent="0.3">
      <c r="B66" s="4"/>
      <c r="C66" s="4"/>
      <c r="D66" s="4"/>
      <c r="E66" s="4"/>
      <c r="F66" s="4"/>
      <c r="G66" s="4"/>
      <c r="H66" s="16"/>
      <c r="I66" s="16"/>
      <c r="J66" s="2" t="str">
        <f t="shared" ca="1" si="1"/>
        <v/>
      </c>
      <c r="K66" s="2" t="str">
        <f>IF(I66="","",IF(J66&lt;0,"EXPIRED",IF(J66&lt;=Admin!$C$13,"CRITICAL ≤7d",IF(J66&lt;=Admin!$C$12,"WARNING ≤30d","VALID"))))</f>
        <v/>
      </c>
      <c r="L66" s="4"/>
      <c r="M66" s="3" t="str">
        <f>IF(I66="","",I66-Admin!$C$12)</f>
        <v/>
      </c>
      <c r="N66" s="4"/>
    </row>
    <row r="67" spans="2:14" ht="14.4" x14ac:dyDescent="0.3">
      <c r="B67" s="4"/>
      <c r="C67" s="4"/>
      <c r="D67" s="4"/>
      <c r="E67" s="4"/>
      <c r="F67" s="4"/>
      <c r="G67" s="4"/>
      <c r="H67" s="16"/>
      <c r="I67" s="16"/>
      <c r="J67" s="2" t="str">
        <f t="shared" ca="1" si="1"/>
        <v/>
      </c>
      <c r="K67" s="2" t="str">
        <f>IF(I67="","",IF(J67&lt;0,"EXPIRED",IF(J67&lt;=Admin!$C$13,"CRITICAL ≤7d",IF(J67&lt;=Admin!$C$12,"WARNING ≤30d","VALID"))))</f>
        <v/>
      </c>
      <c r="L67" s="4"/>
      <c r="M67" s="3" t="str">
        <f>IF(I67="","",I67-Admin!$C$12)</f>
        <v/>
      </c>
      <c r="N67" s="4"/>
    </row>
    <row r="68" spans="2:14" ht="14.4" x14ac:dyDescent="0.3">
      <c r="B68" s="4"/>
      <c r="C68" s="4"/>
      <c r="D68" s="4"/>
      <c r="E68" s="4"/>
      <c r="F68" s="4"/>
      <c r="G68" s="4"/>
      <c r="H68" s="16"/>
      <c r="I68" s="16"/>
      <c r="J68" s="2" t="str">
        <f t="shared" ca="1" si="1"/>
        <v/>
      </c>
      <c r="K68" s="2" t="str">
        <f>IF(I68="","",IF(J68&lt;0,"EXPIRED",IF(J68&lt;=Admin!$C$13,"CRITICAL ≤7d",IF(J68&lt;=Admin!$C$12,"WARNING ≤30d","VALID"))))</f>
        <v/>
      </c>
      <c r="L68" s="4"/>
      <c r="M68" s="3" t="str">
        <f>IF(I68="","",I68-Admin!$C$12)</f>
        <v/>
      </c>
      <c r="N68" s="4"/>
    </row>
    <row r="69" spans="2:14" ht="14.4" x14ac:dyDescent="0.3">
      <c r="B69" s="4"/>
      <c r="C69" s="4"/>
      <c r="D69" s="4"/>
      <c r="E69" s="4"/>
      <c r="F69" s="4"/>
      <c r="G69" s="4"/>
      <c r="H69" s="16"/>
      <c r="I69" s="16"/>
      <c r="J69" s="2" t="str">
        <f t="shared" ref="J69:J79" ca="1" si="2">IF(I69="","",I69-TODAY())</f>
        <v/>
      </c>
      <c r="K69" s="2" t="str">
        <f>IF(I69="","",IF(J69&lt;0,"EXPIRED",IF(J69&lt;=Admin!$C$13,"CRITICAL ≤7d",IF(J69&lt;=Admin!$C$12,"WARNING ≤30d","VALID"))))</f>
        <v/>
      </c>
      <c r="L69" s="4"/>
      <c r="M69" s="3" t="str">
        <f>IF(I69="","",I69-Admin!$C$12)</f>
        <v/>
      </c>
      <c r="N69" s="4"/>
    </row>
    <row r="70" spans="2:14" ht="14.4" x14ac:dyDescent="0.3">
      <c r="B70" s="4"/>
      <c r="C70" s="4"/>
      <c r="D70" s="4"/>
      <c r="E70" s="4"/>
      <c r="F70" s="4"/>
      <c r="G70" s="4"/>
      <c r="H70" s="16"/>
      <c r="I70" s="16"/>
      <c r="J70" s="2" t="str">
        <f t="shared" ca="1" si="2"/>
        <v/>
      </c>
      <c r="K70" s="2" t="str">
        <f>IF(I70="","",IF(J70&lt;0,"EXPIRED",IF(J70&lt;=Admin!$C$13,"CRITICAL ≤7d",IF(J70&lt;=Admin!$C$12,"WARNING ≤30d","VALID"))))</f>
        <v/>
      </c>
      <c r="L70" s="4"/>
      <c r="M70" s="3" t="str">
        <f>IF(I70="","",I70-Admin!$C$12)</f>
        <v/>
      </c>
      <c r="N70" s="4"/>
    </row>
    <row r="71" spans="2:14" ht="14.4" x14ac:dyDescent="0.3">
      <c r="B71" s="4"/>
      <c r="C71" s="4"/>
      <c r="D71" s="4"/>
      <c r="E71" s="4"/>
      <c r="F71" s="4"/>
      <c r="G71" s="4"/>
      <c r="H71" s="16"/>
      <c r="I71" s="16"/>
      <c r="J71" s="2" t="str">
        <f t="shared" ca="1" si="2"/>
        <v/>
      </c>
      <c r="K71" s="2" t="str">
        <f>IF(I71="","",IF(J71&lt;0,"EXPIRED",IF(J71&lt;=Admin!$C$13,"CRITICAL ≤7d",IF(J71&lt;=Admin!$C$12,"WARNING ≤30d","VALID"))))</f>
        <v/>
      </c>
      <c r="L71" s="4"/>
      <c r="M71" s="3" t="str">
        <f>IF(I71="","",I71-Admin!$C$12)</f>
        <v/>
      </c>
      <c r="N71" s="4"/>
    </row>
    <row r="72" spans="2:14" ht="14.4" x14ac:dyDescent="0.3">
      <c r="B72" s="4"/>
      <c r="C72" s="4"/>
      <c r="D72" s="4"/>
      <c r="E72" s="4"/>
      <c r="F72" s="4"/>
      <c r="G72" s="4"/>
      <c r="H72" s="16"/>
      <c r="I72" s="16"/>
      <c r="J72" s="2" t="str">
        <f t="shared" ca="1" si="2"/>
        <v/>
      </c>
      <c r="K72" s="2" t="str">
        <f>IF(I72="","",IF(J72&lt;0,"EXPIRED",IF(J72&lt;=Admin!$C$13,"CRITICAL ≤7d",IF(J72&lt;=Admin!$C$12,"WARNING ≤30d","VALID"))))</f>
        <v/>
      </c>
      <c r="L72" s="4"/>
      <c r="M72" s="3" t="str">
        <f>IF(I72="","",I72-Admin!$C$12)</f>
        <v/>
      </c>
      <c r="N72" s="4"/>
    </row>
    <row r="73" spans="2:14" ht="14.4" x14ac:dyDescent="0.3">
      <c r="B73" s="4"/>
      <c r="C73" s="4"/>
      <c r="D73" s="4"/>
      <c r="E73" s="4"/>
      <c r="F73" s="4"/>
      <c r="G73" s="4"/>
      <c r="H73" s="16"/>
      <c r="I73" s="16"/>
      <c r="J73" s="2" t="str">
        <f t="shared" ca="1" si="2"/>
        <v/>
      </c>
      <c r="K73" s="2" t="str">
        <f>IF(I73="","",IF(J73&lt;0,"EXPIRED",IF(J73&lt;=Admin!$C$13,"CRITICAL ≤7d",IF(J73&lt;=Admin!$C$12,"WARNING ≤30d","VALID"))))</f>
        <v/>
      </c>
      <c r="L73" s="4"/>
      <c r="M73" s="3" t="str">
        <f>IF(I73="","",I73-Admin!$C$12)</f>
        <v/>
      </c>
      <c r="N73" s="4"/>
    </row>
    <row r="74" spans="2:14" ht="14.4" x14ac:dyDescent="0.3">
      <c r="B74" s="4"/>
      <c r="C74" s="4"/>
      <c r="D74" s="4"/>
      <c r="E74" s="4"/>
      <c r="F74" s="4"/>
      <c r="G74" s="4"/>
      <c r="H74" s="16"/>
      <c r="I74" s="16"/>
      <c r="J74" s="2" t="str">
        <f t="shared" ca="1" si="2"/>
        <v/>
      </c>
      <c r="K74" s="2" t="str">
        <f>IF(I74="","",IF(J74&lt;0,"EXPIRED",IF(J74&lt;=Admin!$C$13,"CRITICAL ≤7d",IF(J74&lt;=Admin!$C$12,"WARNING ≤30d","VALID"))))</f>
        <v/>
      </c>
      <c r="L74" s="4"/>
      <c r="M74" s="3" t="str">
        <f>IF(I74="","",I74-Admin!$C$12)</f>
        <v/>
      </c>
      <c r="N74" s="4"/>
    </row>
    <row r="75" spans="2:14" ht="14.4" x14ac:dyDescent="0.3">
      <c r="B75" s="4"/>
      <c r="C75" s="4"/>
      <c r="D75" s="4"/>
      <c r="E75" s="4"/>
      <c r="F75" s="4"/>
      <c r="G75" s="4"/>
      <c r="H75" s="16"/>
      <c r="I75" s="16"/>
      <c r="J75" s="2" t="str">
        <f t="shared" ca="1" si="2"/>
        <v/>
      </c>
      <c r="K75" s="2" t="str">
        <f>IF(I75="","",IF(J75&lt;0,"EXPIRED",IF(J75&lt;=Admin!$C$13,"CRITICAL ≤7d",IF(J75&lt;=Admin!$C$12,"WARNING ≤30d","VALID"))))</f>
        <v/>
      </c>
      <c r="L75" s="4"/>
      <c r="M75" s="3" t="str">
        <f>IF(I75="","",I75-Admin!$C$12)</f>
        <v/>
      </c>
      <c r="N75" s="4"/>
    </row>
    <row r="76" spans="2:14" ht="14.4" x14ac:dyDescent="0.3">
      <c r="B76" s="4"/>
      <c r="C76" s="4"/>
      <c r="D76" s="4"/>
      <c r="E76" s="4"/>
      <c r="F76" s="4"/>
      <c r="G76" s="4"/>
      <c r="H76" s="16"/>
      <c r="I76" s="16"/>
      <c r="J76" s="2" t="str">
        <f t="shared" ca="1" si="2"/>
        <v/>
      </c>
      <c r="K76" s="2" t="str">
        <f>IF(I76="","",IF(J76&lt;0,"EXPIRED",IF(J76&lt;=Admin!$C$13,"CRITICAL ≤7d",IF(J76&lt;=Admin!$C$12,"WARNING ≤30d","VALID"))))</f>
        <v/>
      </c>
      <c r="L76" s="4"/>
      <c r="M76" s="3" t="str">
        <f>IF(I76="","",I76-Admin!$C$12)</f>
        <v/>
      </c>
      <c r="N76" s="4"/>
    </row>
    <row r="77" spans="2:14" ht="14.4" x14ac:dyDescent="0.3">
      <c r="B77" s="4"/>
      <c r="C77" s="4"/>
      <c r="D77" s="4"/>
      <c r="E77" s="4"/>
      <c r="F77" s="4"/>
      <c r="G77" s="4"/>
      <c r="H77" s="16"/>
      <c r="I77" s="16"/>
      <c r="J77" s="2" t="str">
        <f t="shared" ca="1" si="2"/>
        <v/>
      </c>
      <c r="K77" s="2" t="str">
        <f>IF(I77="","",IF(J77&lt;0,"EXPIRED",IF(J77&lt;=Admin!$C$13,"CRITICAL ≤7d",IF(J77&lt;=Admin!$C$12,"WARNING ≤30d","VALID"))))</f>
        <v/>
      </c>
      <c r="L77" s="4"/>
      <c r="M77" s="3" t="str">
        <f>IF(I77="","",I77-Admin!$C$12)</f>
        <v/>
      </c>
      <c r="N77" s="4"/>
    </row>
    <row r="78" spans="2:14" ht="14.4" x14ac:dyDescent="0.3">
      <c r="B78" s="4"/>
      <c r="C78" s="4"/>
      <c r="D78" s="4"/>
      <c r="E78" s="4"/>
      <c r="F78" s="4"/>
      <c r="G78" s="4"/>
      <c r="H78" s="16"/>
      <c r="I78" s="16"/>
      <c r="J78" s="2" t="str">
        <f t="shared" ca="1" si="2"/>
        <v/>
      </c>
      <c r="K78" s="2" t="str">
        <f>IF(I78="","",IF(J78&lt;0,"EXPIRED",IF(J78&lt;=Admin!$C$13,"CRITICAL ≤7d",IF(J78&lt;=Admin!$C$12,"WARNING ≤30d","VALID"))))</f>
        <v/>
      </c>
      <c r="L78" s="4"/>
      <c r="M78" s="3" t="str">
        <f>IF(I78="","",I78-Admin!$C$12)</f>
        <v/>
      </c>
      <c r="N78" s="4"/>
    </row>
    <row r="79" spans="2:14" ht="14.4" x14ac:dyDescent="0.3">
      <c r="B79" s="4"/>
      <c r="C79" s="4"/>
      <c r="D79" s="4"/>
      <c r="E79" s="4"/>
      <c r="F79" s="4"/>
      <c r="G79" s="4"/>
      <c r="H79" s="16"/>
      <c r="I79" s="16"/>
      <c r="J79" s="2" t="str">
        <f t="shared" ca="1" si="2"/>
        <v/>
      </c>
      <c r="K79" s="2" t="str">
        <f>IF(I79="","",IF(J79&lt;0,"EXPIRED",IF(J79&lt;=Admin!$C$13,"CRITICAL ≤7d",IF(J79&lt;=Admin!$C$12,"WARNING ≤30d","VALID"))))</f>
        <v/>
      </c>
      <c r="L79" s="4"/>
      <c r="M79" s="3" t="str">
        <f>IF(I79="","",I79-Admin!$C$12)</f>
        <v/>
      </c>
      <c r="N79" s="4"/>
    </row>
  </sheetData>
  <mergeCells count="2">
    <mergeCell ref="A2:N2"/>
    <mergeCell ref="A1:N1"/>
  </mergeCells>
  <conditionalFormatting sqref="J5:J80">
    <cfRule type="cellIs" dxfId="7" priority="4" operator="lessThanOrEqual">
      <formula>30</formula>
    </cfRule>
    <cfRule type="cellIs" dxfId="6" priority="5" operator="lessThanOrEqual">
      <formula>7</formula>
    </cfRule>
  </conditionalFormatting>
  <conditionalFormatting sqref="K5:K80">
    <cfRule type="expression" dxfId="5" priority="1">
      <formula>$K5="VALID"</formula>
    </cfRule>
    <cfRule type="expression" dxfId="4" priority="2">
      <formula>$K5="WARNING ≤30d"</formula>
    </cfRule>
    <cfRule type="expression" dxfId="3" priority="3">
      <formula>OR($K5="EXPIRED",$K5="CRITICAL ≤7d")</formula>
    </cfRule>
  </conditionalFormatting>
  <pageMargins left="0.75" right="0.75" top="1" bottom="1" header="0.5" footer="0.5"/>
  <pageSetup paperSize="9" fitToHeight="0" orientation="landscape"/>
  <headerFooter>
    <oddHeader>&amp;LKAZ PP Expansion | EHS</oddHeader>
    <oddFooter>&amp;RConfidential | 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A00-000000000000}">
          <x14:formula1>
            <xm:f>Lookups!$G$5:$G$20</xm:f>
          </x14:formula1>
          <xm:sqref>E5:E80</xm:sqref>
        </x14:dataValidation>
        <x14:dataValidation type="list" allowBlank="1" xr:uid="{00000000-0002-0000-0A00-000001000000}">
          <x14:formula1>
            <xm:f>Lookups!$E$5:$E$12</xm:f>
          </x14:formula1>
          <xm:sqref>F5:F80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F8C8D"/>
    <pageSetUpPr fitToPage="1"/>
  </sheetPr>
  <dimension ref="A1:O59"/>
  <sheetViews>
    <sheetView showGridLines="0" workbookViewId="0">
      <pane ySplit="4" topLeftCell="A5" activePane="bottomLeft" state="frozen"/>
      <selection pane="bottomLeft"/>
    </sheetView>
  </sheetViews>
  <sheetFormatPr defaultRowHeight="13.8" x14ac:dyDescent="0.25"/>
  <cols>
    <col min="1" max="1" width="5" customWidth="1"/>
    <col min="2" max="2" width="14" customWidth="1"/>
    <col min="3" max="3" width="22" customWidth="1"/>
    <col min="4" max="5" width="18" customWidth="1"/>
    <col min="6" max="7" width="16" customWidth="1"/>
    <col min="8" max="8" width="14" customWidth="1"/>
    <col min="9" max="9" width="16" customWidth="1"/>
    <col min="10" max="10" width="14" customWidth="1"/>
    <col min="11" max="11" width="16" customWidth="1"/>
    <col min="12" max="12" width="18" customWidth="1"/>
    <col min="13" max="13" width="16" customWidth="1"/>
    <col min="14" max="14" width="18" customWidth="1"/>
    <col min="15" max="15" width="20" customWidth="1"/>
  </cols>
  <sheetData>
    <row r="1" spans="1:15" ht="31.95" customHeight="1" x14ac:dyDescent="0.25">
      <c r="A1" s="29" t="s">
        <v>513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</row>
    <row r="2" spans="1:15" ht="19.95" customHeight="1" x14ac:dyDescent="0.25">
      <c r="A2" s="34" t="s">
        <v>514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4" spans="1:15" ht="14.4" x14ac:dyDescent="0.25">
      <c r="B4" s="5" t="s">
        <v>515</v>
      </c>
      <c r="C4" s="5" t="s">
        <v>116</v>
      </c>
      <c r="D4" s="5" t="s">
        <v>516</v>
      </c>
      <c r="E4" s="5" t="s">
        <v>517</v>
      </c>
      <c r="F4" s="5" t="s">
        <v>518</v>
      </c>
      <c r="G4" s="5" t="s">
        <v>519</v>
      </c>
      <c r="H4" s="5" t="s">
        <v>520</v>
      </c>
      <c r="I4" s="5" t="s">
        <v>521</v>
      </c>
      <c r="J4" s="5" t="s">
        <v>522</v>
      </c>
      <c r="K4" s="5" t="s">
        <v>523</v>
      </c>
      <c r="L4" s="5" t="s">
        <v>524</v>
      </c>
      <c r="M4" s="5" t="s">
        <v>111</v>
      </c>
      <c r="N4" s="5" t="s">
        <v>525</v>
      </c>
      <c r="O4" s="5" t="s">
        <v>282</v>
      </c>
    </row>
    <row r="5" spans="1:15" ht="14.4" x14ac:dyDescent="0.3">
      <c r="B5" s="4" t="s">
        <v>526</v>
      </c>
      <c r="C5" s="4" t="s">
        <v>122</v>
      </c>
      <c r="D5" s="4" t="s">
        <v>527</v>
      </c>
      <c r="E5" s="4" t="s">
        <v>151</v>
      </c>
      <c r="F5" s="4" t="s">
        <v>528</v>
      </c>
      <c r="G5" s="4" t="s">
        <v>529</v>
      </c>
      <c r="H5" s="16">
        <v>46127</v>
      </c>
      <c r="I5" s="2">
        <f t="shared" ref="I5:I36" ca="1" si="0">IF(H5="","",H5-TODAY())</f>
        <v>-148</v>
      </c>
      <c r="J5" s="16">
        <v>46082</v>
      </c>
      <c r="K5" s="16">
        <v>46089</v>
      </c>
      <c r="L5" s="2">
        <f t="shared" ref="L5:L36" ca="1" si="1">IF(K5="","",K5-TODAY())</f>
        <v>-186</v>
      </c>
      <c r="M5" s="2" t="str">
        <f ca="1">IF(H5="","",IF(OR(I5&lt;0,L5&lt;0),"QUARANTINE / EXPIRED",IF(OR(I5&lt;=Admin!$C$13,L5&lt;=Admin!$C$13),"CRITICAL ≤7d",IF(OR(I5&lt;=Admin!$C$12,L5&lt;=Admin!$C$12),"WARNING ≤30d","FIT FOR USE"))))</f>
        <v>QUARANTINE / EXPIRED</v>
      </c>
    </row>
    <row r="6" spans="1:15" ht="14.4" x14ac:dyDescent="0.3">
      <c r="B6" s="4" t="s">
        <v>530</v>
      </c>
      <c r="C6" s="4" t="s">
        <v>146</v>
      </c>
      <c r="D6" s="4" t="s">
        <v>531</v>
      </c>
      <c r="E6" s="4" t="s">
        <v>93</v>
      </c>
      <c r="F6" s="4" t="s">
        <v>532</v>
      </c>
      <c r="G6" s="4" t="s">
        <v>533</v>
      </c>
      <c r="H6" s="16">
        <v>46143</v>
      </c>
      <c r="I6" s="2">
        <f t="shared" ca="1" si="0"/>
        <v>-132</v>
      </c>
      <c r="J6" s="16">
        <v>46086</v>
      </c>
      <c r="K6" s="16">
        <v>46093</v>
      </c>
      <c r="L6" s="2">
        <f t="shared" ca="1" si="1"/>
        <v>-182</v>
      </c>
      <c r="M6" s="2" t="str">
        <f ca="1">IF(H6="","",IF(OR(I6&lt;0,L6&lt;0),"QUARANTINE / EXPIRED",IF(OR(I6&lt;=Admin!$C$13,L6&lt;=Admin!$C$13),"CRITICAL ≤7d",IF(OR(I6&lt;=Admin!$C$12,L6&lt;=Admin!$C$12),"WARNING ≤30d","FIT FOR USE"))))</f>
        <v>QUARANTINE / EXPIRED</v>
      </c>
    </row>
    <row r="7" spans="1:15" ht="14.4" x14ac:dyDescent="0.3">
      <c r="B7" s="4" t="s">
        <v>534</v>
      </c>
      <c r="C7" s="4" t="s">
        <v>135</v>
      </c>
      <c r="D7" s="4" t="s">
        <v>535</v>
      </c>
      <c r="E7" s="4" t="s">
        <v>92</v>
      </c>
      <c r="F7" s="4" t="s">
        <v>536</v>
      </c>
      <c r="G7" s="4" t="s">
        <v>537</v>
      </c>
      <c r="H7" s="16">
        <v>46106</v>
      </c>
      <c r="I7" s="2">
        <f t="shared" ca="1" si="0"/>
        <v>-169</v>
      </c>
      <c r="J7" s="16">
        <v>46073</v>
      </c>
      <c r="K7" s="16">
        <v>46087</v>
      </c>
      <c r="L7" s="2">
        <f t="shared" ca="1" si="1"/>
        <v>-188</v>
      </c>
      <c r="M7" s="2" t="str">
        <f ca="1">IF(H7="","",IF(OR(I7&lt;0,L7&lt;0),"QUARANTINE / EXPIRED",IF(OR(I7&lt;=Admin!$C$13,L7&lt;=Admin!$C$13),"CRITICAL ≤7d",IF(OR(I7&lt;=Admin!$C$12,L7&lt;=Admin!$C$12),"WARNING ≤30d","FIT FOR USE"))))</f>
        <v>QUARANTINE / EXPIRED</v>
      </c>
    </row>
    <row r="8" spans="1:15" ht="14.4" x14ac:dyDescent="0.3">
      <c r="B8" s="4" t="s">
        <v>538</v>
      </c>
      <c r="C8" s="4" t="s">
        <v>159</v>
      </c>
      <c r="D8" s="4" t="s">
        <v>539</v>
      </c>
      <c r="E8" s="4" t="s">
        <v>143</v>
      </c>
      <c r="F8" s="4" t="s">
        <v>540</v>
      </c>
      <c r="G8" s="4" t="s">
        <v>541</v>
      </c>
      <c r="H8" s="16">
        <v>46099</v>
      </c>
      <c r="I8" s="2">
        <f t="shared" ca="1" si="0"/>
        <v>-176</v>
      </c>
      <c r="J8" s="16">
        <v>46082</v>
      </c>
      <c r="K8" s="16">
        <v>46113</v>
      </c>
      <c r="L8" s="2">
        <f t="shared" ca="1" si="1"/>
        <v>-162</v>
      </c>
      <c r="M8" s="2" t="str">
        <f ca="1">IF(H8="","",IF(OR(I8&lt;0,L8&lt;0),"QUARANTINE / EXPIRED",IF(OR(I8&lt;=Admin!$C$13,L8&lt;=Admin!$C$13),"CRITICAL ≤7d",IF(OR(I8&lt;=Admin!$C$12,L8&lt;=Admin!$C$12),"WARNING ≤30d","FIT FOR USE"))))</f>
        <v>QUARANTINE / EXPIRED</v>
      </c>
    </row>
    <row r="9" spans="1:15" ht="14.4" x14ac:dyDescent="0.3">
      <c r="B9" s="4" t="s">
        <v>542</v>
      </c>
      <c r="C9" s="4" t="s">
        <v>142</v>
      </c>
      <c r="D9" s="4" t="s">
        <v>543</v>
      </c>
      <c r="E9" s="4" t="s">
        <v>92</v>
      </c>
      <c r="F9" s="4" t="s">
        <v>544</v>
      </c>
      <c r="G9" s="4" t="s">
        <v>545</v>
      </c>
      <c r="H9" s="16">
        <v>46357</v>
      </c>
      <c r="I9" s="2">
        <f t="shared" ca="1" si="0"/>
        <v>82</v>
      </c>
      <c r="J9" s="16">
        <v>46090</v>
      </c>
      <c r="K9" s="16">
        <v>46097</v>
      </c>
      <c r="L9" s="2">
        <f t="shared" ca="1" si="1"/>
        <v>-178</v>
      </c>
      <c r="M9" s="2" t="str">
        <f ca="1">IF(H9="","",IF(OR(I9&lt;0,L9&lt;0),"QUARANTINE / EXPIRED",IF(OR(I9&lt;=Admin!$C$13,L9&lt;=Admin!$C$13),"CRITICAL ≤7d",IF(OR(I9&lt;=Admin!$C$12,L9&lt;=Admin!$C$12),"WARNING ≤30d","FIT FOR USE"))))</f>
        <v>QUARANTINE / EXPIRED</v>
      </c>
    </row>
    <row r="10" spans="1:15" ht="14.4" x14ac:dyDescent="0.3">
      <c r="B10" s="4"/>
      <c r="C10" s="4"/>
      <c r="D10" s="4"/>
      <c r="E10" s="4"/>
      <c r="F10" s="4"/>
      <c r="G10" s="4"/>
      <c r="H10" s="16"/>
      <c r="I10" s="2" t="str">
        <f t="shared" ca="1" si="0"/>
        <v/>
      </c>
      <c r="J10" s="16"/>
      <c r="K10" s="16"/>
      <c r="L10" s="2" t="str">
        <f t="shared" ca="1" si="1"/>
        <v/>
      </c>
      <c r="M10" s="2" t="str">
        <f>IF(H10="","",IF(OR(I10&lt;0,L10&lt;0),"QUARANTINE / EXPIRED",IF(OR(I10&lt;=Admin!$C$13,L10&lt;=Admin!$C$13),"CRITICAL ≤7d",IF(OR(I10&lt;=Admin!$C$12,L10&lt;=Admin!$C$12),"WARNING ≤30d","FIT FOR USE"))))</f>
        <v/>
      </c>
      <c r="N10" s="4"/>
      <c r="O10" s="4"/>
    </row>
    <row r="11" spans="1:15" ht="14.4" x14ac:dyDescent="0.3">
      <c r="B11" s="4"/>
      <c r="C11" s="4"/>
      <c r="D11" s="4"/>
      <c r="E11" s="4"/>
      <c r="F11" s="4"/>
      <c r="G11" s="4"/>
      <c r="H11" s="16"/>
      <c r="I11" s="2" t="str">
        <f t="shared" ca="1" si="0"/>
        <v/>
      </c>
      <c r="J11" s="16"/>
      <c r="K11" s="16"/>
      <c r="L11" s="2" t="str">
        <f t="shared" ca="1" si="1"/>
        <v/>
      </c>
      <c r="M11" s="2" t="str">
        <f>IF(H11="","",IF(OR(I11&lt;0,L11&lt;0),"QUARANTINE / EXPIRED",IF(OR(I11&lt;=Admin!$C$13,L11&lt;=Admin!$C$13),"CRITICAL ≤7d",IF(OR(I11&lt;=Admin!$C$12,L11&lt;=Admin!$C$12),"WARNING ≤30d","FIT FOR USE"))))</f>
        <v/>
      </c>
      <c r="N11" s="4"/>
      <c r="O11" s="4"/>
    </row>
    <row r="12" spans="1:15" ht="14.4" x14ac:dyDescent="0.3">
      <c r="B12" s="4"/>
      <c r="C12" s="4"/>
      <c r="D12" s="4"/>
      <c r="E12" s="4"/>
      <c r="F12" s="4"/>
      <c r="G12" s="4"/>
      <c r="H12" s="16"/>
      <c r="I12" s="2" t="str">
        <f t="shared" ca="1" si="0"/>
        <v/>
      </c>
      <c r="J12" s="16"/>
      <c r="K12" s="16"/>
      <c r="L12" s="2" t="str">
        <f t="shared" ca="1" si="1"/>
        <v/>
      </c>
      <c r="M12" s="2" t="str">
        <f>IF(H12="","",IF(OR(I12&lt;0,L12&lt;0),"QUARANTINE / EXPIRED",IF(OR(I12&lt;=Admin!$C$13,L12&lt;=Admin!$C$13),"CRITICAL ≤7d",IF(OR(I12&lt;=Admin!$C$12,L12&lt;=Admin!$C$12),"WARNING ≤30d","FIT FOR USE"))))</f>
        <v/>
      </c>
      <c r="N12" s="4"/>
      <c r="O12" s="4"/>
    </row>
    <row r="13" spans="1:15" ht="14.4" x14ac:dyDescent="0.3">
      <c r="B13" s="4"/>
      <c r="C13" s="4"/>
      <c r="D13" s="4"/>
      <c r="E13" s="4"/>
      <c r="F13" s="4"/>
      <c r="G13" s="4"/>
      <c r="H13" s="16"/>
      <c r="I13" s="2" t="str">
        <f t="shared" ca="1" si="0"/>
        <v/>
      </c>
      <c r="J13" s="16"/>
      <c r="K13" s="16"/>
      <c r="L13" s="2" t="str">
        <f t="shared" ca="1" si="1"/>
        <v/>
      </c>
      <c r="M13" s="2" t="str">
        <f>IF(H13="","",IF(OR(I13&lt;0,L13&lt;0),"QUARANTINE / EXPIRED",IF(OR(I13&lt;=Admin!$C$13,L13&lt;=Admin!$C$13),"CRITICAL ≤7d",IF(OR(I13&lt;=Admin!$C$12,L13&lt;=Admin!$C$12),"WARNING ≤30d","FIT FOR USE"))))</f>
        <v/>
      </c>
      <c r="N13" s="4"/>
      <c r="O13" s="4"/>
    </row>
    <row r="14" spans="1:15" ht="14.4" x14ac:dyDescent="0.3">
      <c r="B14" s="4"/>
      <c r="C14" s="4"/>
      <c r="D14" s="4"/>
      <c r="E14" s="4"/>
      <c r="F14" s="4"/>
      <c r="G14" s="4"/>
      <c r="H14" s="16"/>
      <c r="I14" s="2" t="str">
        <f t="shared" ca="1" si="0"/>
        <v/>
      </c>
      <c r="J14" s="16"/>
      <c r="K14" s="16"/>
      <c r="L14" s="2" t="str">
        <f t="shared" ca="1" si="1"/>
        <v/>
      </c>
      <c r="M14" s="2" t="str">
        <f>IF(H14="","",IF(OR(I14&lt;0,L14&lt;0),"QUARANTINE / EXPIRED",IF(OR(I14&lt;=Admin!$C$13,L14&lt;=Admin!$C$13),"CRITICAL ≤7d",IF(OR(I14&lt;=Admin!$C$12,L14&lt;=Admin!$C$12),"WARNING ≤30d","FIT FOR USE"))))</f>
        <v/>
      </c>
      <c r="N14" s="4"/>
      <c r="O14" s="4"/>
    </row>
    <row r="15" spans="1:15" ht="14.4" x14ac:dyDescent="0.3">
      <c r="B15" s="4"/>
      <c r="C15" s="4"/>
      <c r="D15" s="4"/>
      <c r="E15" s="4"/>
      <c r="F15" s="4"/>
      <c r="G15" s="4"/>
      <c r="H15" s="16"/>
      <c r="I15" s="2" t="str">
        <f t="shared" ca="1" si="0"/>
        <v/>
      </c>
      <c r="J15" s="16"/>
      <c r="K15" s="16"/>
      <c r="L15" s="2" t="str">
        <f t="shared" ca="1" si="1"/>
        <v/>
      </c>
      <c r="M15" s="2" t="str">
        <f>IF(H15="","",IF(OR(I15&lt;0,L15&lt;0),"QUARANTINE / EXPIRED",IF(OR(I15&lt;=Admin!$C$13,L15&lt;=Admin!$C$13),"CRITICAL ≤7d",IF(OR(I15&lt;=Admin!$C$12,L15&lt;=Admin!$C$12),"WARNING ≤30d","FIT FOR USE"))))</f>
        <v/>
      </c>
      <c r="N15" s="4"/>
      <c r="O15" s="4"/>
    </row>
    <row r="16" spans="1:15" ht="14.4" x14ac:dyDescent="0.3">
      <c r="B16" s="4"/>
      <c r="C16" s="4"/>
      <c r="D16" s="4"/>
      <c r="E16" s="4"/>
      <c r="F16" s="4"/>
      <c r="G16" s="4"/>
      <c r="H16" s="16"/>
      <c r="I16" s="2" t="str">
        <f t="shared" ca="1" si="0"/>
        <v/>
      </c>
      <c r="J16" s="16"/>
      <c r="K16" s="16"/>
      <c r="L16" s="2" t="str">
        <f t="shared" ca="1" si="1"/>
        <v/>
      </c>
      <c r="M16" s="2" t="str">
        <f>IF(H16="","",IF(OR(I16&lt;0,L16&lt;0),"QUARANTINE / EXPIRED",IF(OR(I16&lt;=Admin!$C$13,L16&lt;=Admin!$C$13),"CRITICAL ≤7d",IF(OR(I16&lt;=Admin!$C$12,L16&lt;=Admin!$C$12),"WARNING ≤30d","FIT FOR USE"))))</f>
        <v/>
      </c>
      <c r="N16" s="4"/>
      <c r="O16" s="4"/>
    </row>
    <row r="17" spans="2:15" ht="14.4" x14ac:dyDescent="0.3">
      <c r="B17" s="4"/>
      <c r="C17" s="4"/>
      <c r="D17" s="4"/>
      <c r="E17" s="4"/>
      <c r="F17" s="4"/>
      <c r="G17" s="4"/>
      <c r="H17" s="16"/>
      <c r="I17" s="2" t="str">
        <f t="shared" ca="1" si="0"/>
        <v/>
      </c>
      <c r="J17" s="16"/>
      <c r="K17" s="16"/>
      <c r="L17" s="2" t="str">
        <f t="shared" ca="1" si="1"/>
        <v/>
      </c>
      <c r="M17" s="2" t="str">
        <f>IF(H17="","",IF(OR(I17&lt;0,L17&lt;0),"QUARANTINE / EXPIRED",IF(OR(I17&lt;=Admin!$C$13,L17&lt;=Admin!$C$13),"CRITICAL ≤7d",IF(OR(I17&lt;=Admin!$C$12,L17&lt;=Admin!$C$12),"WARNING ≤30d","FIT FOR USE"))))</f>
        <v/>
      </c>
      <c r="N17" s="4"/>
      <c r="O17" s="4"/>
    </row>
    <row r="18" spans="2:15" ht="14.4" x14ac:dyDescent="0.3">
      <c r="B18" s="4"/>
      <c r="C18" s="4"/>
      <c r="D18" s="4"/>
      <c r="E18" s="4"/>
      <c r="F18" s="4"/>
      <c r="G18" s="4"/>
      <c r="H18" s="16"/>
      <c r="I18" s="2" t="str">
        <f t="shared" ca="1" si="0"/>
        <v/>
      </c>
      <c r="J18" s="16"/>
      <c r="K18" s="16"/>
      <c r="L18" s="2" t="str">
        <f t="shared" ca="1" si="1"/>
        <v/>
      </c>
      <c r="M18" s="2" t="str">
        <f>IF(H18="","",IF(OR(I18&lt;0,L18&lt;0),"QUARANTINE / EXPIRED",IF(OR(I18&lt;=Admin!$C$13,L18&lt;=Admin!$C$13),"CRITICAL ≤7d",IF(OR(I18&lt;=Admin!$C$12,L18&lt;=Admin!$C$12),"WARNING ≤30d","FIT FOR USE"))))</f>
        <v/>
      </c>
      <c r="N18" s="4"/>
      <c r="O18" s="4"/>
    </row>
    <row r="19" spans="2:15" ht="14.4" x14ac:dyDescent="0.3">
      <c r="B19" s="4"/>
      <c r="C19" s="4"/>
      <c r="D19" s="4"/>
      <c r="E19" s="4"/>
      <c r="F19" s="4"/>
      <c r="G19" s="4"/>
      <c r="H19" s="16"/>
      <c r="I19" s="2" t="str">
        <f t="shared" ca="1" si="0"/>
        <v/>
      </c>
      <c r="J19" s="16"/>
      <c r="K19" s="16"/>
      <c r="L19" s="2" t="str">
        <f t="shared" ca="1" si="1"/>
        <v/>
      </c>
      <c r="M19" s="2" t="str">
        <f>IF(H19="","",IF(OR(I19&lt;0,L19&lt;0),"QUARANTINE / EXPIRED",IF(OR(I19&lt;=Admin!$C$13,L19&lt;=Admin!$C$13),"CRITICAL ≤7d",IF(OR(I19&lt;=Admin!$C$12,L19&lt;=Admin!$C$12),"WARNING ≤30d","FIT FOR USE"))))</f>
        <v/>
      </c>
      <c r="N19" s="4"/>
      <c r="O19" s="4"/>
    </row>
    <row r="20" spans="2:15" ht="14.4" x14ac:dyDescent="0.3">
      <c r="B20" s="4"/>
      <c r="C20" s="4"/>
      <c r="D20" s="4"/>
      <c r="E20" s="4"/>
      <c r="F20" s="4"/>
      <c r="G20" s="4"/>
      <c r="H20" s="16"/>
      <c r="I20" s="2" t="str">
        <f t="shared" ca="1" si="0"/>
        <v/>
      </c>
      <c r="J20" s="16"/>
      <c r="K20" s="16"/>
      <c r="L20" s="2" t="str">
        <f t="shared" ca="1" si="1"/>
        <v/>
      </c>
      <c r="M20" s="2" t="str">
        <f>IF(H20="","",IF(OR(I20&lt;0,L20&lt;0),"QUARANTINE / EXPIRED",IF(OR(I20&lt;=Admin!$C$13,L20&lt;=Admin!$C$13),"CRITICAL ≤7d",IF(OR(I20&lt;=Admin!$C$12,L20&lt;=Admin!$C$12),"WARNING ≤30d","FIT FOR USE"))))</f>
        <v/>
      </c>
      <c r="N20" s="4"/>
      <c r="O20" s="4"/>
    </row>
    <row r="21" spans="2:15" ht="14.4" x14ac:dyDescent="0.3">
      <c r="B21" s="4"/>
      <c r="C21" s="4"/>
      <c r="D21" s="4"/>
      <c r="E21" s="4"/>
      <c r="F21" s="4"/>
      <c r="G21" s="4"/>
      <c r="H21" s="16"/>
      <c r="I21" s="2" t="str">
        <f t="shared" ca="1" si="0"/>
        <v/>
      </c>
      <c r="J21" s="16"/>
      <c r="K21" s="16"/>
      <c r="L21" s="2" t="str">
        <f t="shared" ca="1" si="1"/>
        <v/>
      </c>
      <c r="M21" s="2" t="str">
        <f>IF(H21="","",IF(OR(I21&lt;0,L21&lt;0),"QUARANTINE / EXPIRED",IF(OR(I21&lt;=Admin!$C$13,L21&lt;=Admin!$C$13),"CRITICAL ≤7d",IF(OR(I21&lt;=Admin!$C$12,L21&lt;=Admin!$C$12),"WARNING ≤30d","FIT FOR USE"))))</f>
        <v/>
      </c>
      <c r="N21" s="4"/>
      <c r="O21" s="4"/>
    </row>
    <row r="22" spans="2:15" ht="14.4" x14ac:dyDescent="0.3">
      <c r="B22" s="4"/>
      <c r="C22" s="4"/>
      <c r="D22" s="4"/>
      <c r="E22" s="4"/>
      <c r="F22" s="4"/>
      <c r="G22" s="4"/>
      <c r="H22" s="16"/>
      <c r="I22" s="2" t="str">
        <f t="shared" ca="1" si="0"/>
        <v/>
      </c>
      <c r="J22" s="16"/>
      <c r="K22" s="16"/>
      <c r="L22" s="2" t="str">
        <f t="shared" ca="1" si="1"/>
        <v/>
      </c>
      <c r="M22" s="2" t="str">
        <f>IF(H22="","",IF(OR(I22&lt;0,L22&lt;0),"QUARANTINE / EXPIRED",IF(OR(I22&lt;=Admin!$C$13,L22&lt;=Admin!$C$13),"CRITICAL ≤7d",IF(OR(I22&lt;=Admin!$C$12,L22&lt;=Admin!$C$12),"WARNING ≤30d","FIT FOR USE"))))</f>
        <v/>
      </c>
      <c r="N22" s="4"/>
      <c r="O22" s="4"/>
    </row>
    <row r="23" spans="2:15" ht="14.4" x14ac:dyDescent="0.3">
      <c r="B23" s="4"/>
      <c r="C23" s="4"/>
      <c r="D23" s="4"/>
      <c r="E23" s="4"/>
      <c r="F23" s="4"/>
      <c r="G23" s="4"/>
      <c r="H23" s="16"/>
      <c r="I23" s="2" t="str">
        <f t="shared" ca="1" si="0"/>
        <v/>
      </c>
      <c r="J23" s="16"/>
      <c r="K23" s="16"/>
      <c r="L23" s="2" t="str">
        <f t="shared" ca="1" si="1"/>
        <v/>
      </c>
      <c r="M23" s="2" t="str">
        <f>IF(H23="","",IF(OR(I23&lt;0,L23&lt;0),"QUARANTINE / EXPIRED",IF(OR(I23&lt;=Admin!$C$13,L23&lt;=Admin!$C$13),"CRITICAL ≤7d",IF(OR(I23&lt;=Admin!$C$12,L23&lt;=Admin!$C$12),"WARNING ≤30d","FIT FOR USE"))))</f>
        <v/>
      </c>
      <c r="N23" s="4"/>
      <c r="O23" s="4"/>
    </row>
    <row r="24" spans="2:15" ht="14.4" x14ac:dyDescent="0.3">
      <c r="B24" s="4"/>
      <c r="C24" s="4"/>
      <c r="D24" s="4"/>
      <c r="E24" s="4"/>
      <c r="F24" s="4"/>
      <c r="G24" s="4"/>
      <c r="H24" s="16"/>
      <c r="I24" s="2" t="str">
        <f t="shared" ca="1" si="0"/>
        <v/>
      </c>
      <c r="J24" s="16"/>
      <c r="K24" s="16"/>
      <c r="L24" s="2" t="str">
        <f t="shared" ca="1" si="1"/>
        <v/>
      </c>
      <c r="M24" s="2" t="str">
        <f>IF(H24="","",IF(OR(I24&lt;0,L24&lt;0),"QUARANTINE / EXPIRED",IF(OR(I24&lt;=Admin!$C$13,L24&lt;=Admin!$C$13),"CRITICAL ≤7d",IF(OR(I24&lt;=Admin!$C$12,L24&lt;=Admin!$C$12),"WARNING ≤30d","FIT FOR USE"))))</f>
        <v/>
      </c>
      <c r="N24" s="4"/>
      <c r="O24" s="4"/>
    </row>
    <row r="25" spans="2:15" ht="14.4" x14ac:dyDescent="0.3">
      <c r="B25" s="4"/>
      <c r="C25" s="4"/>
      <c r="D25" s="4"/>
      <c r="E25" s="4"/>
      <c r="F25" s="4"/>
      <c r="G25" s="4"/>
      <c r="H25" s="16"/>
      <c r="I25" s="2" t="str">
        <f t="shared" ca="1" si="0"/>
        <v/>
      </c>
      <c r="J25" s="16"/>
      <c r="K25" s="16"/>
      <c r="L25" s="2" t="str">
        <f t="shared" ca="1" si="1"/>
        <v/>
      </c>
      <c r="M25" s="2" t="str">
        <f>IF(H25="","",IF(OR(I25&lt;0,L25&lt;0),"QUARANTINE / EXPIRED",IF(OR(I25&lt;=Admin!$C$13,L25&lt;=Admin!$C$13),"CRITICAL ≤7d",IF(OR(I25&lt;=Admin!$C$12,L25&lt;=Admin!$C$12),"WARNING ≤30d","FIT FOR USE"))))</f>
        <v/>
      </c>
      <c r="N25" s="4"/>
      <c r="O25" s="4"/>
    </row>
    <row r="26" spans="2:15" ht="14.4" x14ac:dyDescent="0.3">
      <c r="B26" s="4"/>
      <c r="C26" s="4"/>
      <c r="D26" s="4"/>
      <c r="E26" s="4"/>
      <c r="F26" s="4"/>
      <c r="G26" s="4"/>
      <c r="H26" s="16"/>
      <c r="I26" s="2" t="str">
        <f t="shared" ca="1" si="0"/>
        <v/>
      </c>
      <c r="J26" s="16"/>
      <c r="K26" s="16"/>
      <c r="L26" s="2" t="str">
        <f t="shared" ca="1" si="1"/>
        <v/>
      </c>
      <c r="M26" s="2" t="str">
        <f>IF(H26="","",IF(OR(I26&lt;0,L26&lt;0),"QUARANTINE / EXPIRED",IF(OR(I26&lt;=Admin!$C$13,L26&lt;=Admin!$C$13),"CRITICAL ≤7d",IF(OR(I26&lt;=Admin!$C$12,L26&lt;=Admin!$C$12),"WARNING ≤30d","FIT FOR USE"))))</f>
        <v/>
      </c>
      <c r="N26" s="4"/>
      <c r="O26" s="4"/>
    </row>
    <row r="27" spans="2:15" ht="14.4" x14ac:dyDescent="0.3">
      <c r="B27" s="4"/>
      <c r="C27" s="4"/>
      <c r="D27" s="4"/>
      <c r="E27" s="4"/>
      <c r="F27" s="4"/>
      <c r="G27" s="4"/>
      <c r="H27" s="16"/>
      <c r="I27" s="2" t="str">
        <f t="shared" ca="1" si="0"/>
        <v/>
      </c>
      <c r="J27" s="16"/>
      <c r="K27" s="16"/>
      <c r="L27" s="2" t="str">
        <f t="shared" ca="1" si="1"/>
        <v/>
      </c>
      <c r="M27" s="2" t="str">
        <f>IF(H27="","",IF(OR(I27&lt;0,L27&lt;0),"QUARANTINE / EXPIRED",IF(OR(I27&lt;=Admin!$C$13,L27&lt;=Admin!$C$13),"CRITICAL ≤7d",IF(OR(I27&lt;=Admin!$C$12,L27&lt;=Admin!$C$12),"WARNING ≤30d","FIT FOR USE"))))</f>
        <v/>
      </c>
      <c r="N27" s="4"/>
      <c r="O27" s="4"/>
    </row>
    <row r="28" spans="2:15" ht="14.4" x14ac:dyDescent="0.3">
      <c r="B28" s="4"/>
      <c r="C28" s="4"/>
      <c r="D28" s="4"/>
      <c r="E28" s="4"/>
      <c r="F28" s="4"/>
      <c r="G28" s="4"/>
      <c r="H28" s="16"/>
      <c r="I28" s="2" t="str">
        <f t="shared" ca="1" si="0"/>
        <v/>
      </c>
      <c r="J28" s="16"/>
      <c r="K28" s="16"/>
      <c r="L28" s="2" t="str">
        <f t="shared" ca="1" si="1"/>
        <v/>
      </c>
      <c r="M28" s="2" t="str">
        <f>IF(H28="","",IF(OR(I28&lt;0,L28&lt;0),"QUARANTINE / EXPIRED",IF(OR(I28&lt;=Admin!$C$13,L28&lt;=Admin!$C$13),"CRITICAL ≤7d",IF(OR(I28&lt;=Admin!$C$12,L28&lt;=Admin!$C$12),"WARNING ≤30d","FIT FOR USE"))))</f>
        <v/>
      </c>
      <c r="N28" s="4"/>
      <c r="O28" s="4"/>
    </row>
    <row r="29" spans="2:15" ht="14.4" x14ac:dyDescent="0.3">
      <c r="B29" s="4"/>
      <c r="C29" s="4"/>
      <c r="D29" s="4"/>
      <c r="E29" s="4"/>
      <c r="F29" s="4"/>
      <c r="G29" s="4"/>
      <c r="H29" s="16"/>
      <c r="I29" s="2" t="str">
        <f t="shared" ca="1" si="0"/>
        <v/>
      </c>
      <c r="J29" s="16"/>
      <c r="K29" s="16"/>
      <c r="L29" s="2" t="str">
        <f t="shared" ca="1" si="1"/>
        <v/>
      </c>
      <c r="M29" s="2" t="str">
        <f>IF(H29="","",IF(OR(I29&lt;0,L29&lt;0),"QUARANTINE / EXPIRED",IF(OR(I29&lt;=Admin!$C$13,L29&lt;=Admin!$C$13),"CRITICAL ≤7d",IF(OR(I29&lt;=Admin!$C$12,L29&lt;=Admin!$C$12),"WARNING ≤30d","FIT FOR USE"))))</f>
        <v/>
      </c>
      <c r="N29" s="4"/>
      <c r="O29" s="4"/>
    </row>
    <row r="30" spans="2:15" ht="14.4" x14ac:dyDescent="0.3">
      <c r="B30" s="4"/>
      <c r="C30" s="4"/>
      <c r="D30" s="4"/>
      <c r="E30" s="4"/>
      <c r="F30" s="4"/>
      <c r="G30" s="4"/>
      <c r="H30" s="16"/>
      <c r="I30" s="2" t="str">
        <f t="shared" ca="1" si="0"/>
        <v/>
      </c>
      <c r="J30" s="16"/>
      <c r="K30" s="16"/>
      <c r="L30" s="2" t="str">
        <f t="shared" ca="1" si="1"/>
        <v/>
      </c>
      <c r="M30" s="2" t="str">
        <f>IF(H30="","",IF(OR(I30&lt;0,L30&lt;0),"QUARANTINE / EXPIRED",IF(OR(I30&lt;=Admin!$C$13,L30&lt;=Admin!$C$13),"CRITICAL ≤7d",IF(OR(I30&lt;=Admin!$C$12,L30&lt;=Admin!$C$12),"WARNING ≤30d","FIT FOR USE"))))</f>
        <v/>
      </c>
      <c r="N30" s="4"/>
      <c r="O30" s="4"/>
    </row>
    <row r="31" spans="2:15" ht="14.4" x14ac:dyDescent="0.3">
      <c r="B31" s="4"/>
      <c r="C31" s="4"/>
      <c r="D31" s="4"/>
      <c r="E31" s="4"/>
      <c r="F31" s="4"/>
      <c r="G31" s="4"/>
      <c r="H31" s="16"/>
      <c r="I31" s="2" t="str">
        <f t="shared" ca="1" si="0"/>
        <v/>
      </c>
      <c r="J31" s="16"/>
      <c r="K31" s="16"/>
      <c r="L31" s="2" t="str">
        <f t="shared" ca="1" si="1"/>
        <v/>
      </c>
      <c r="M31" s="2" t="str">
        <f>IF(H31="","",IF(OR(I31&lt;0,L31&lt;0),"QUARANTINE / EXPIRED",IF(OR(I31&lt;=Admin!$C$13,L31&lt;=Admin!$C$13),"CRITICAL ≤7d",IF(OR(I31&lt;=Admin!$C$12,L31&lt;=Admin!$C$12),"WARNING ≤30d","FIT FOR USE"))))</f>
        <v/>
      </c>
      <c r="N31" s="4"/>
      <c r="O31" s="4"/>
    </row>
    <row r="32" spans="2:15" ht="14.4" x14ac:dyDescent="0.3">
      <c r="B32" s="4"/>
      <c r="C32" s="4"/>
      <c r="D32" s="4"/>
      <c r="E32" s="4"/>
      <c r="F32" s="4"/>
      <c r="G32" s="4"/>
      <c r="H32" s="16"/>
      <c r="I32" s="2" t="str">
        <f t="shared" ca="1" si="0"/>
        <v/>
      </c>
      <c r="J32" s="16"/>
      <c r="K32" s="16"/>
      <c r="L32" s="2" t="str">
        <f t="shared" ca="1" si="1"/>
        <v/>
      </c>
      <c r="M32" s="2" t="str">
        <f>IF(H32="","",IF(OR(I32&lt;0,L32&lt;0),"QUARANTINE / EXPIRED",IF(OR(I32&lt;=Admin!$C$13,L32&lt;=Admin!$C$13),"CRITICAL ≤7d",IF(OR(I32&lt;=Admin!$C$12,L32&lt;=Admin!$C$12),"WARNING ≤30d","FIT FOR USE"))))</f>
        <v/>
      </c>
      <c r="N32" s="4"/>
      <c r="O32" s="4"/>
    </row>
    <row r="33" spans="2:15" ht="14.4" x14ac:dyDescent="0.3">
      <c r="B33" s="4"/>
      <c r="C33" s="4"/>
      <c r="D33" s="4"/>
      <c r="E33" s="4"/>
      <c r="F33" s="4"/>
      <c r="G33" s="4"/>
      <c r="H33" s="16"/>
      <c r="I33" s="2" t="str">
        <f t="shared" ca="1" si="0"/>
        <v/>
      </c>
      <c r="J33" s="16"/>
      <c r="K33" s="16"/>
      <c r="L33" s="2" t="str">
        <f t="shared" ca="1" si="1"/>
        <v/>
      </c>
      <c r="M33" s="2" t="str">
        <f>IF(H33="","",IF(OR(I33&lt;0,L33&lt;0),"QUARANTINE / EXPIRED",IF(OR(I33&lt;=Admin!$C$13,L33&lt;=Admin!$C$13),"CRITICAL ≤7d",IF(OR(I33&lt;=Admin!$C$12,L33&lt;=Admin!$C$12),"WARNING ≤30d","FIT FOR USE"))))</f>
        <v/>
      </c>
      <c r="N33" s="4"/>
      <c r="O33" s="4"/>
    </row>
    <row r="34" spans="2:15" ht="14.4" x14ac:dyDescent="0.3">
      <c r="B34" s="4"/>
      <c r="C34" s="4"/>
      <c r="D34" s="4"/>
      <c r="E34" s="4"/>
      <c r="F34" s="4"/>
      <c r="G34" s="4"/>
      <c r="H34" s="16"/>
      <c r="I34" s="2" t="str">
        <f t="shared" ca="1" si="0"/>
        <v/>
      </c>
      <c r="J34" s="16"/>
      <c r="K34" s="16"/>
      <c r="L34" s="2" t="str">
        <f t="shared" ca="1" si="1"/>
        <v/>
      </c>
      <c r="M34" s="2" t="str">
        <f>IF(H34="","",IF(OR(I34&lt;0,L34&lt;0),"QUARANTINE / EXPIRED",IF(OR(I34&lt;=Admin!$C$13,L34&lt;=Admin!$C$13),"CRITICAL ≤7d",IF(OR(I34&lt;=Admin!$C$12,L34&lt;=Admin!$C$12),"WARNING ≤30d","FIT FOR USE"))))</f>
        <v/>
      </c>
      <c r="N34" s="4"/>
      <c r="O34" s="4"/>
    </row>
    <row r="35" spans="2:15" ht="14.4" x14ac:dyDescent="0.3">
      <c r="B35" s="4"/>
      <c r="C35" s="4"/>
      <c r="D35" s="4"/>
      <c r="E35" s="4"/>
      <c r="F35" s="4"/>
      <c r="G35" s="4"/>
      <c r="H35" s="16"/>
      <c r="I35" s="2" t="str">
        <f t="shared" ca="1" si="0"/>
        <v/>
      </c>
      <c r="J35" s="16"/>
      <c r="K35" s="16"/>
      <c r="L35" s="2" t="str">
        <f t="shared" ca="1" si="1"/>
        <v/>
      </c>
      <c r="M35" s="2" t="str">
        <f>IF(H35="","",IF(OR(I35&lt;0,L35&lt;0),"QUARANTINE / EXPIRED",IF(OR(I35&lt;=Admin!$C$13,L35&lt;=Admin!$C$13),"CRITICAL ≤7d",IF(OR(I35&lt;=Admin!$C$12,L35&lt;=Admin!$C$12),"WARNING ≤30d","FIT FOR USE"))))</f>
        <v/>
      </c>
      <c r="N35" s="4"/>
      <c r="O35" s="4"/>
    </row>
    <row r="36" spans="2:15" ht="14.4" x14ac:dyDescent="0.3">
      <c r="B36" s="4"/>
      <c r="C36" s="4"/>
      <c r="D36" s="4"/>
      <c r="E36" s="4"/>
      <c r="F36" s="4"/>
      <c r="G36" s="4"/>
      <c r="H36" s="16"/>
      <c r="I36" s="2" t="str">
        <f t="shared" ca="1" si="0"/>
        <v/>
      </c>
      <c r="J36" s="16"/>
      <c r="K36" s="16"/>
      <c r="L36" s="2" t="str">
        <f t="shared" ca="1" si="1"/>
        <v/>
      </c>
      <c r="M36" s="2" t="str">
        <f>IF(H36="","",IF(OR(I36&lt;0,L36&lt;0),"QUARANTINE / EXPIRED",IF(OR(I36&lt;=Admin!$C$13,L36&lt;=Admin!$C$13),"CRITICAL ≤7d",IF(OR(I36&lt;=Admin!$C$12,L36&lt;=Admin!$C$12),"WARNING ≤30d","FIT FOR USE"))))</f>
        <v/>
      </c>
      <c r="N36" s="4"/>
      <c r="O36" s="4"/>
    </row>
    <row r="37" spans="2:15" ht="14.4" x14ac:dyDescent="0.3">
      <c r="B37" s="4"/>
      <c r="C37" s="4"/>
      <c r="D37" s="4"/>
      <c r="E37" s="4"/>
      <c r="F37" s="4"/>
      <c r="G37" s="4"/>
      <c r="H37" s="16"/>
      <c r="I37" s="2" t="str">
        <f t="shared" ref="I37:I59" ca="1" si="2">IF(H37="","",H37-TODAY())</f>
        <v/>
      </c>
      <c r="J37" s="16"/>
      <c r="K37" s="16"/>
      <c r="L37" s="2" t="str">
        <f t="shared" ref="L37:L59" ca="1" si="3">IF(K37="","",K37-TODAY())</f>
        <v/>
      </c>
      <c r="M37" s="2" t="str">
        <f>IF(H37="","",IF(OR(I37&lt;0,L37&lt;0),"QUARANTINE / EXPIRED",IF(OR(I37&lt;=Admin!$C$13,L37&lt;=Admin!$C$13),"CRITICAL ≤7d",IF(OR(I37&lt;=Admin!$C$12,L37&lt;=Admin!$C$12),"WARNING ≤30d","FIT FOR USE"))))</f>
        <v/>
      </c>
      <c r="N37" s="4"/>
      <c r="O37" s="4"/>
    </row>
    <row r="38" spans="2:15" ht="14.4" x14ac:dyDescent="0.3">
      <c r="B38" s="4"/>
      <c r="C38" s="4"/>
      <c r="D38" s="4"/>
      <c r="E38" s="4"/>
      <c r="F38" s="4"/>
      <c r="G38" s="4"/>
      <c r="H38" s="16"/>
      <c r="I38" s="2" t="str">
        <f t="shared" ca="1" si="2"/>
        <v/>
      </c>
      <c r="J38" s="16"/>
      <c r="K38" s="16"/>
      <c r="L38" s="2" t="str">
        <f t="shared" ca="1" si="3"/>
        <v/>
      </c>
      <c r="M38" s="2" t="str">
        <f>IF(H38="","",IF(OR(I38&lt;0,L38&lt;0),"QUARANTINE / EXPIRED",IF(OR(I38&lt;=Admin!$C$13,L38&lt;=Admin!$C$13),"CRITICAL ≤7d",IF(OR(I38&lt;=Admin!$C$12,L38&lt;=Admin!$C$12),"WARNING ≤30d","FIT FOR USE"))))</f>
        <v/>
      </c>
      <c r="N38" s="4"/>
      <c r="O38" s="4"/>
    </row>
    <row r="39" spans="2:15" ht="14.4" x14ac:dyDescent="0.3">
      <c r="B39" s="4"/>
      <c r="C39" s="4"/>
      <c r="D39" s="4"/>
      <c r="E39" s="4"/>
      <c r="F39" s="4"/>
      <c r="G39" s="4"/>
      <c r="H39" s="16"/>
      <c r="I39" s="2" t="str">
        <f t="shared" ca="1" si="2"/>
        <v/>
      </c>
      <c r="J39" s="16"/>
      <c r="K39" s="16"/>
      <c r="L39" s="2" t="str">
        <f t="shared" ca="1" si="3"/>
        <v/>
      </c>
      <c r="M39" s="2" t="str">
        <f>IF(H39="","",IF(OR(I39&lt;0,L39&lt;0),"QUARANTINE / EXPIRED",IF(OR(I39&lt;=Admin!$C$13,L39&lt;=Admin!$C$13),"CRITICAL ≤7d",IF(OR(I39&lt;=Admin!$C$12,L39&lt;=Admin!$C$12),"WARNING ≤30d","FIT FOR USE"))))</f>
        <v/>
      </c>
      <c r="N39" s="4"/>
      <c r="O39" s="4"/>
    </row>
    <row r="40" spans="2:15" ht="14.4" x14ac:dyDescent="0.3">
      <c r="B40" s="4"/>
      <c r="C40" s="4"/>
      <c r="D40" s="4"/>
      <c r="E40" s="4"/>
      <c r="F40" s="4"/>
      <c r="G40" s="4"/>
      <c r="H40" s="16"/>
      <c r="I40" s="2" t="str">
        <f t="shared" ca="1" si="2"/>
        <v/>
      </c>
      <c r="J40" s="16"/>
      <c r="K40" s="16"/>
      <c r="L40" s="2" t="str">
        <f t="shared" ca="1" si="3"/>
        <v/>
      </c>
      <c r="M40" s="2" t="str">
        <f>IF(H40="","",IF(OR(I40&lt;0,L40&lt;0),"QUARANTINE / EXPIRED",IF(OR(I40&lt;=Admin!$C$13,L40&lt;=Admin!$C$13),"CRITICAL ≤7d",IF(OR(I40&lt;=Admin!$C$12,L40&lt;=Admin!$C$12),"WARNING ≤30d","FIT FOR USE"))))</f>
        <v/>
      </c>
      <c r="N40" s="4"/>
      <c r="O40" s="4"/>
    </row>
    <row r="41" spans="2:15" ht="14.4" x14ac:dyDescent="0.3">
      <c r="B41" s="4"/>
      <c r="C41" s="4"/>
      <c r="D41" s="4"/>
      <c r="E41" s="4"/>
      <c r="F41" s="4"/>
      <c r="G41" s="4"/>
      <c r="H41" s="16"/>
      <c r="I41" s="2" t="str">
        <f t="shared" ca="1" si="2"/>
        <v/>
      </c>
      <c r="J41" s="16"/>
      <c r="K41" s="16"/>
      <c r="L41" s="2" t="str">
        <f t="shared" ca="1" si="3"/>
        <v/>
      </c>
      <c r="M41" s="2" t="str">
        <f>IF(H41="","",IF(OR(I41&lt;0,L41&lt;0),"QUARANTINE / EXPIRED",IF(OR(I41&lt;=Admin!$C$13,L41&lt;=Admin!$C$13),"CRITICAL ≤7d",IF(OR(I41&lt;=Admin!$C$12,L41&lt;=Admin!$C$12),"WARNING ≤30d","FIT FOR USE"))))</f>
        <v/>
      </c>
      <c r="N41" s="4"/>
      <c r="O41" s="4"/>
    </row>
    <row r="42" spans="2:15" ht="14.4" x14ac:dyDescent="0.3">
      <c r="B42" s="4"/>
      <c r="C42" s="4"/>
      <c r="D42" s="4"/>
      <c r="E42" s="4"/>
      <c r="F42" s="4"/>
      <c r="G42" s="4"/>
      <c r="H42" s="16"/>
      <c r="I42" s="2" t="str">
        <f t="shared" ca="1" si="2"/>
        <v/>
      </c>
      <c r="J42" s="16"/>
      <c r="K42" s="16"/>
      <c r="L42" s="2" t="str">
        <f t="shared" ca="1" si="3"/>
        <v/>
      </c>
      <c r="M42" s="2" t="str">
        <f>IF(H42="","",IF(OR(I42&lt;0,L42&lt;0),"QUARANTINE / EXPIRED",IF(OR(I42&lt;=Admin!$C$13,L42&lt;=Admin!$C$13),"CRITICAL ≤7d",IF(OR(I42&lt;=Admin!$C$12,L42&lt;=Admin!$C$12),"WARNING ≤30d","FIT FOR USE"))))</f>
        <v/>
      </c>
      <c r="N42" s="4"/>
      <c r="O42" s="4"/>
    </row>
    <row r="43" spans="2:15" ht="14.4" x14ac:dyDescent="0.3">
      <c r="B43" s="4"/>
      <c r="C43" s="4"/>
      <c r="D43" s="4"/>
      <c r="E43" s="4"/>
      <c r="F43" s="4"/>
      <c r="G43" s="4"/>
      <c r="H43" s="16"/>
      <c r="I43" s="2" t="str">
        <f t="shared" ca="1" si="2"/>
        <v/>
      </c>
      <c r="J43" s="16"/>
      <c r="K43" s="16"/>
      <c r="L43" s="2" t="str">
        <f t="shared" ca="1" si="3"/>
        <v/>
      </c>
      <c r="M43" s="2" t="str">
        <f>IF(H43="","",IF(OR(I43&lt;0,L43&lt;0),"QUARANTINE / EXPIRED",IF(OR(I43&lt;=Admin!$C$13,L43&lt;=Admin!$C$13),"CRITICAL ≤7d",IF(OR(I43&lt;=Admin!$C$12,L43&lt;=Admin!$C$12),"WARNING ≤30d","FIT FOR USE"))))</f>
        <v/>
      </c>
      <c r="N43" s="4"/>
      <c r="O43" s="4"/>
    </row>
    <row r="44" spans="2:15" ht="14.4" x14ac:dyDescent="0.3">
      <c r="B44" s="4"/>
      <c r="C44" s="4"/>
      <c r="D44" s="4"/>
      <c r="E44" s="4"/>
      <c r="F44" s="4"/>
      <c r="G44" s="4"/>
      <c r="H44" s="16"/>
      <c r="I44" s="2" t="str">
        <f t="shared" ca="1" si="2"/>
        <v/>
      </c>
      <c r="J44" s="16"/>
      <c r="K44" s="16"/>
      <c r="L44" s="2" t="str">
        <f t="shared" ca="1" si="3"/>
        <v/>
      </c>
      <c r="M44" s="2" t="str">
        <f>IF(H44="","",IF(OR(I44&lt;0,L44&lt;0),"QUARANTINE / EXPIRED",IF(OR(I44&lt;=Admin!$C$13,L44&lt;=Admin!$C$13),"CRITICAL ≤7d",IF(OR(I44&lt;=Admin!$C$12,L44&lt;=Admin!$C$12),"WARNING ≤30d","FIT FOR USE"))))</f>
        <v/>
      </c>
      <c r="N44" s="4"/>
      <c r="O44" s="4"/>
    </row>
    <row r="45" spans="2:15" ht="14.4" x14ac:dyDescent="0.3">
      <c r="B45" s="4"/>
      <c r="C45" s="4"/>
      <c r="D45" s="4"/>
      <c r="E45" s="4"/>
      <c r="F45" s="4"/>
      <c r="G45" s="4"/>
      <c r="H45" s="16"/>
      <c r="I45" s="2" t="str">
        <f t="shared" ca="1" si="2"/>
        <v/>
      </c>
      <c r="J45" s="16"/>
      <c r="K45" s="16"/>
      <c r="L45" s="2" t="str">
        <f t="shared" ca="1" si="3"/>
        <v/>
      </c>
      <c r="M45" s="2" t="str">
        <f>IF(H45="","",IF(OR(I45&lt;0,L45&lt;0),"QUARANTINE / EXPIRED",IF(OR(I45&lt;=Admin!$C$13,L45&lt;=Admin!$C$13),"CRITICAL ≤7d",IF(OR(I45&lt;=Admin!$C$12,L45&lt;=Admin!$C$12),"WARNING ≤30d","FIT FOR USE"))))</f>
        <v/>
      </c>
      <c r="N45" s="4"/>
      <c r="O45" s="4"/>
    </row>
    <row r="46" spans="2:15" ht="14.4" x14ac:dyDescent="0.3">
      <c r="B46" s="4"/>
      <c r="C46" s="4"/>
      <c r="D46" s="4"/>
      <c r="E46" s="4"/>
      <c r="F46" s="4"/>
      <c r="G46" s="4"/>
      <c r="H46" s="16"/>
      <c r="I46" s="2" t="str">
        <f t="shared" ca="1" si="2"/>
        <v/>
      </c>
      <c r="J46" s="16"/>
      <c r="K46" s="16"/>
      <c r="L46" s="2" t="str">
        <f t="shared" ca="1" si="3"/>
        <v/>
      </c>
      <c r="M46" s="2" t="str">
        <f>IF(H46="","",IF(OR(I46&lt;0,L46&lt;0),"QUARANTINE / EXPIRED",IF(OR(I46&lt;=Admin!$C$13,L46&lt;=Admin!$C$13),"CRITICAL ≤7d",IF(OR(I46&lt;=Admin!$C$12,L46&lt;=Admin!$C$12),"WARNING ≤30d","FIT FOR USE"))))</f>
        <v/>
      </c>
      <c r="N46" s="4"/>
      <c r="O46" s="4"/>
    </row>
    <row r="47" spans="2:15" ht="14.4" x14ac:dyDescent="0.3">
      <c r="B47" s="4"/>
      <c r="C47" s="4"/>
      <c r="D47" s="4"/>
      <c r="E47" s="4"/>
      <c r="F47" s="4"/>
      <c r="G47" s="4"/>
      <c r="H47" s="16"/>
      <c r="I47" s="2" t="str">
        <f t="shared" ca="1" si="2"/>
        <v/>
      </c>
      <c r="J47" s="16"/>
      <c r="K47" s="16"/>
      <c r="L47" s="2" t="str">
        <f t="shared" ca="1" si="3"/>
        <v/>
      </c>
      <c r="M47" s="2" t="str">
        <f>IF(H47="","",IF(OR(I47&lt;0,L47&lt;0),"QUARANTINE / EXPIRED",IF(OR(I47&lt;=Admin!$C$13,L47&lt;=Admin!$C$13),"CRITICAL ≤7d",IF(OR(I47&lt;=Admin!$C$12,L47&lt;=Admin!$C$12),"WARNING ≤30d","FIT FOR USE"))))</f>
        <v/>
      </c>
      <c r="N47" s="4"/>
      <c r="O47" s="4"/>
    </row>
    <row r="48" spans="2:15" ht="14.4" x14ac:dyDescent="0.3">
      <c r="B48" s="4"/>
      <c r="C48" s="4"/>
      <c r="D48" s="4"/>
      <c r="E48" s="4"/>
      <c r="F48" s="4"/>
      <c r="G48" s="4"/>
      <c r="H48" s="16"/>
      <c r="I48" s="2" t="str">
        <f t="shared" ca="1" si="2"/>
        <v/>
      </c>
      <c r="J48" s="16"/>
      <c r="K48" s="16"/>
      <c r="L48" s="2" t="str">
        <f t="shared" ca="1" si="3"/>
        <v/>
      </c>
      <c r="M48" s="2" t="str">
        <f>IF(H48="","",IF(OR(I48&lt;0,L48&lt;0),"QUARANTINE / EXPIRED",IF(OR(I48&lt;=Admin!$C$13,L48&lt;=Admin!$C$13),"CRITICAL ≤7d",IF(OR(I48&lt;=Admin!$C$12,L48&lt;=Admin!$C$12),"WARNING ≤30d","FIT FOR USE"))))</f>
        <v/>
      </c>
      <c r="N48" s="4"/>
      <c r="O48" s="4"/>
    </row>
    <row r="49" spans="2:15" ht="14.4" x14ac:dyDescent="0.3">
      <c r="B49" s="4"/>
      <c r="C49" s="4"/>
      <c r="D49" s="4"/>
      <c r="E49" s="4"/>
      <c r="F49" s="4"/>
      <c r="G49" s="4"/>
      <c r="H49" s="16"/>
      <c r="I49" s="2" t="str">
        <f t="shared" ca="1" si="2"/>
        <v/>
      </c>
      <c r="J49" s="16"/>
      <c r="K49" s="16"/>
      <c r="L49" s="2" t="str">
        <f t="shared" ca="1" si="3"/>
        <v/>
      </c>
      <c r="M49" s="2" t="str">
        <f>IF(H49="","",IF(OR(I49&lt;0,L49&lt;0),"QUARANTINE / EXPIRED",IF(OR(I49&lt;=Admin!$C$13,L49&lt;=Admin!$C$13),"CRITICAL ≤7d",IF(OR(I49&lt;=Admin!$C$12,L49&lt;=Admin!$C$12),"WARNING ≤30d","FIT FOR USE"))))</f>
        <v/>
      </c>
      <c r="N49" s="4"/>
      <c r="O49" s="4"/>
    </row>
    <row r="50" spans="2:15" ht="14.4" x14ac:dyDescent="0.3">
      <c r="B50" s="4"/>
      <c r="C50" s="4"/>
      <c r="D50" s="4"/>
      <c r="E50" s="4"/>
      <c r="F50" s="4"/>
      <c r="G50" s="4"/>
      <c r="H50" s="16"/>
      <c r="I50" s="2" t="str">
        <f t="shared" ca="1" si="2"/>
        <v/>
      </c>
      <c r="J50" s="16"/>
      <c r="K50" s="16"/>
      <c r="L50" s="2" t="str">
        <f t="shared" ca="1" si="3"/>
        <v/>
      </c>
      <c r="M50" s="2" t="str">
        <f>IF(H50="","",IF(OR(I50&lt;0,L50&lt;0),"QUARANTINE / EXPIRED",IF(OR(I50&lt;=Admin!$C$13,L50&lt;=Admin!$C$13),"CRITICAL ≤7d",IF(OR(I50&lt;=Admin!$C$12,L50&lt;=Admin!$C$12),"WARNING ≤30d","FIT FOR USE"))))</f>
        <v/>
      </c>
      <c r="N50" s="4"/>
      <c r="O50" s="4"/>
    </row>
    <row r="51" spans="2:15" ht="14.4" x14ac:dyDescent="0.3">
      <c r="B51" s="4"/>
      <c r="C51" s="4"/>
      <c r="D51" s="4"/>
      <c r="E51" s="4"/>
      <c r="F51" s="4"/>
      <c r="G51" s="4"/>
      <c r="H51" s="16"/>
      <c r="I51" s="2" t="str">
        <f t="shared" ca="1" si="2"/>
        <v/>
      </c>
      <c r="J51" s="16"/>
      <c r="K51" s="16"/>
      <c r="L51" s="2" t="str">
        <f t="shared" ca="1" si="3"/>
        <v/>
      </c>
      <c r="M51" s="2" t="str">
        <f>IF(H51="","",IF(OR(I51&lt;0,L51&lt;0),"QUARANTINE / EXPIRED",IF(OR(I51&lt;=Admin!$C$13,L51&lt;=Admin!$C$13),"CRITICAL ≤7d",IF(OR(I51&lt;=Admin!$C$12,L51&lt;=Admin!$C$12),"WARNING ≤30d","FIT FOR USE"))))</f>
        <v/>
      </c>
      <c r="N51" s="4"/>
      <c r="O51" s="4"/>
    </row>
    <row r="52" spans="2:15" ht="14.4" x14ac:dyDescent="0.3">
      <c r="B52" s="4"/>
      <c r="C52" s="4"/>
      <c r="D52" s="4"/>
      <c r="E52" s="4"/>
      <c r="F52" s="4"/>
      <c r="G52" s="4"/>
      <c r="H52" s="16"/>
      <c r="I52" s="2" t="str">
        <f t="shared" ca="1" si="2"/>
        <v/>
      </c>
      <c r="J52" s="16"/>
      <c r="K52" s="16"/>
      <c r="L52" s="2" t="str">
        <f t="shared" ca="1" si="3"/>
        <v/>
      </c>
      <c r="M52" s="2" t="str">
        <f>IF(H52="","",IF(OR(I52&lt;0,L52&lt;0),"QUARANTINE / EXPIRED",IF(OR(I52&lt;=Admin!$C$13,L52&lt;=Admin!$C$13),"CRITICAL ≤7d",IF(OR(I52&lt;=Admin!$C$12,L52&lt;=Admin!$C$12),"WARNING ≤30d","FIT FOR USE"))))</f>
        <v/>
      </c>
      <c r="N52" s="4"/>
      <c r="O52" s="4"/>
    </row>
    <row r="53" spans="2:15" ht="14.4" x14ac:dyDescent="0.3">
      <c r="B53" s="4"/>
      <c r="C53" s="4"/>
      <c r="D53" s="4"/>
      <c r="E53" s="4"/>
      <c r="F53" s="4"/>
      <c r="G53" s="4"/>
      <c r="H53" s="16"/>
      <c r="I53" s="2" t="str">
        <f t="shared" ca="1" si="2"/>
        <v/>
      </c>
      <c r="J53" s="16"/>
      <c r="K53" s="16"/>
      <c r="L53" s="2" t="str">
        <f t="shared" ca="1" si="3"/>
        <v/>
      </c>
      <c r="M53" s="2" t="str">
        <f>IF(H53="","",IF(OR(I53&lt;0,L53&lt;0),"QUARANTINE / EXPIRED",IF(OR(I53&lt;=Admin!$C$13,L53&lt;=Admin!$C$13),"CRITICAL ≤7d",IF(OR(I53&lt;=Admin!$C$12,L53&lt;=Admin!$C$12),"WARNING ≤30d","FIT FOR USE"))))</f>
        <v/>
      </c>
      <c r="N53" s="4"/>
      <c r="O53" s="4"/>
    </row>
    <row r="54" spans="2:15" ht="14.4" x14ac:dyDescent="0.3">
      <c r="B54" s="4"/>
      <c r="C54" s="4"/>
      <c r="D54" s="4"/>
      <c r="E54" s="4"/>
      <c r="F54" s="4"/>
      <c r="G54" s="4"/>
      <c r="H54" s="16"/>
      <c r="I54" s="2" t="str">
        <f t="shared" ca="1" si="2"/>
        <v/>
      </c>
      <c r="J54" s="16"/>
      <c r="K54" s="16"/>
      <c r="L54" s="2" t="str">
        <f t="shared" ca="1" si="3"/>
        <v/>
      </c>
      <c r="M54" s="2" t="str">
        <f>IF(H54="","",IF(OR(I54&lt;0,L54&lt;0),"QUARANTINE / EXPIRED",IF(OR(I54&lt;=Admin!$C$13,L54&lt;=Admin!$C$13),"CRITICAL ≤7d",IF(OR(I54&lt;=Admin!$C$12,L54&lt;=Admin!$C$12),"WARNING ≤30d","FIT FOR USE"))))</f>
        <v/>
      </c>
      <c r="N54" s="4"/>
      <c r="O54" s="4"/>
    </row>
    <row r="55" spans="2:15" ht="14.4" x14ac:dyDescent="0.3">
      <c r="B55" s="4"/>
      <c r="C55" s="4"/>
      <c r="D55" s="4"/>
      <c r="E55" s="4"/>
      <c r="F55" s="4"/>
      <c r="G55" s="4"/>
      <c r="H55" s="16"/>
      <c r="I55" s="2" t="str">
        <f t="shared" ca="1" si="2"/>
        <v/>
      </c>
      <c r="J55" s="16"/>
      <c r="K55" s="16"/>
      <c r="L55" s="2" t="str">
        <f t="shared" ca="1" si="3"/>
        <v/>
      </c>
      <c r="M55" s="2" t="str">
        <f>IF(H55="","",IF(OR(I55&lt;0,L55&lt;0),"QUARANTINE / EXPIRED",IF(OR(I55&lt;=Admin!$C$13,L55&lt;=Admin!$C$13),"CRITICAL ≤7d",IF(OR(I55&lt;=Admin!$C$12,L55&lt;=Admin!$C$12),"WARNING ≤30d","FIT FOR USE"))))</f>
        <v/>
      </c>
      <c r="N55" s="4"/>
      <c r="O55" s="4"/>
    </row>
    <row r="56" spans="2:15" ht="14.4" x14ac:dyDescent="0.3">
      <c r="B56" s="4"/>
      <c r="C56" s="4"/>
      <c r="D56" s="4"/>
      <c r="E56" s="4"/>
      <c r="F56" s="4"/>
      <c r="G56" s="4"/>
      <c r="H56" s="16"/>
      <c r="I56" s="2" t="str">
        <f t="shared" ca="1" si="2"/>
        <v/>
      </c>
      <c r="J56" s="16"/>
      <c r="K56" s="16"/>
      <c r="L56" s="2" t="str">
        <f t="shared" ca="1" si="3"/>
        <v/>
      </c>
      <c r="M56" s="2" t="str">
        <f>IF(H56="","",IF(OR(I56&lt;0,L56&lt;0),"QUARANTINE / EXPIRED",IF(OR(I56&lt;=Admin!$C$13,L56&lt;=Admin!$C$13),"CRITICAL ≤7d",IF(OR(I56&lt;=Admin!$C$12,L56&lt;=Admin!$C$12),"WARNING ≤30d","FIT FOR USE"))))</f>
        <v/>
      </c>
      <c r="N56" s="4"/>
      <c r="O56" s="4"/>
    </row>
    <row r="57" spans="2:15" ht="14.4" x14ac:dyDescent="0.3">
      <c r="B57" s="4"/>
      <c r="C57" s="4"/>
      <c r="D57" s="4"/>
      <c r="E57" s="4"/>
      <c r="F57" s="4"/>
      <c r="G57" s="4"/>
      <c r="H57" s="16"/>
      <c r="I57" s="2" t="str">
        <f t="shared" ca="1" si="2"/>
        <v/>
      </c>
      <c r="J57" s="16"/>
      <c r="K57" s="16"/>
      <c r="L57" s="2" t="str">
        <f t="shared" ca="1" si="3"/>
        <v/>
      </c>
      <c r="M57" s="2" t="str">
        <f>IF(H57="","",IF(OR(I57&lt;0,L57&lt;0),"QUARANTINE / EXPIRED",IF(OR(I57&lt;=Admin!$C$13,L57&lt;=Admin!$C$13),"CRITICAL ≤7d",IF(OR(I57&lt;=Admin!$C$12,L57&lt;=Admin!$C$12),"WARNING ≤30d","FIT FOR USE"))))</f>
        <v/>
      </c>
      <c r="N57" s="4"/>
      <c r="O57" s="4"/>
    </row>
    <row r="58" spans="2:15" ht="14.4" x14ac:dyDescent="0.3">
      <c r="B58" s="4"/>
      <c r="C58" s="4"/>
      <c r="D58" s="4"/>
      <c r="E58" s="4"/>
      <c r="F58" s="4"/>
      <c r="G58" s="4"/>
      <c r="H58" s="16"/>
      <c r="I58" s="2" t="str">
        <f t="shared" ca="1" si="2"/>
        <v/>
      </c>
      <c r="J58" s="16"/>
      <c r="K58" s="16"/>
      <c r="L58" s="2" t="str">
        <f t="shared" ca="1" si="3"/>
        <v/>
      </c>
      <c r="M58" s="2" t="str">
        <f>IF(H58="","",IF(OR(I58&lt;0,L58&lt;0),"QUARANTINE / EXPIRED",IF(OR(I58&lt;=Admin!$C$13,L58&lt;=Admin!$C$13),"CRITICAL ≤7d",IF(OR(I58&lt;=Admin!$C$12,L58&lt;=Admin!$C$12),"WARNING ≤30d","FIT FOR USE"))))</f>
        <v/>
      </c>
      <c r="N58" s="4"/>
      <c r="O58" s="4"/>
    </row>
    <row r="59" spans="2:15" ht="14.4" x14ac:dyDescent="0.3">
      <c r="B59" s="4"/>
      <c r="C59" s="4"/>
      <c r="D59" s="4"/>
      <c r="E59" s="4"/>
      <c r="F59" s="4"/>
      <c r="G59" s="4"/>
      <c r="H59" s="16"/>
      <c r="I59" s="2" t="str">
        <f t="shared" ca="1" si="2"/>
        <v/>
      </c>
      <c r="J59" s="16"/>
      <c r="K59" s="16"/>
      <c r="L59" s="2" t="str">
        <f t="shared" ca="1" si="3"/>
        <v/>
      </c>
      <c r="M59" s="2" t="str">
        <f>IF(H59="","",IF(OR(I59&lt;0,L59&lt;0),"QUARANTINE / EXPIRED",IF(OR(I59&lt;=Admin!$C$13,L59&lt;=Admin!$C$13),"CRITICAL ≤7d",IF(OR(I59&lt;=Admin!$C$12,L59&lt;=Admin!$C$12),"WARNING ≤30d","FIT FOR USE"))))</f>
        <v/>
      </c>
      <c r="N59" s="4"/>
      <c r="O59" s="4"/>
    </row>
  </sheetData>
  <mergeCells count="2">
    <mergeCell ref="A1:O1"/>
    <mergeCell ref="A2:O2"/>
  </mergeCells>
  <conditionalFormatting sqref="M5:M60">
    <cfRule type="expression" dxfId="2" priority="1">
      <formula>$M5="FIT FOR USE"</formula>
    </cfRule>
    <cfRule type="expression" dxfId="1" priority="2">
      <formula>$M5="WARNING ≤30d"</formula>
    </cfRule>
    <cfRule type="expression" dxfId="0" priority="3">
      <formula>OR($M5="QUARANTINE / EXPIRED",$M5="CRITICAL ≤7d")</formula>
    </cfRule>
  </conditionalFormatting>
  <pageMargins left="0.75" right="0.75" top="1" bottom="1" header="0.5" footer="0.5"/>
  <pageSetup paperSize="9" fitToHeight="0" orientation="landscape"/>
  <headerFooter>
    <oddHeader>&amp;LKAZ PP Expansion | EHS</oddHeader>
    <oddFooter>&amp;RConfidential | 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B00-000000000000}">
          <x14:formula1>
            <xm:f>Lookups!$H$5:$H$16</xm:f>
          </x14:formula1>
          <xm:sqref>C5:C60</xm:sqref>
        </x14:dataValidation>
        <x14:dataValidation type="list" allowBlank="1" xr:uid="{00000000-0002-0000-0B00-000001000000}">
          <x14:formula1>
            <xm:f>Lookups!$E$5:$E$12</xm:f>
          </x14:formula1>
          <xm:sqref>E5:E60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34495E"/>
    <pageSetUpPr fitToPage="1"/>
  </sheetPr>
  <dimension ref="A1:K53"/>
  <sheetViews>
    <sheetView showGridLines="0" workbookViewId="0">
      <pane ySplit="4" topLeftCell="A5" activePane="bottomLeft" state="frozen"/>
      <selection pane="bottomLeft"/>
    </sheetView>
  </sheetViews>
  <sheetFormatPr defaultRowHeight="13.8" x14ac:dyDescent="0.25"/>
  <cols>
    <col min="1" max="1" width="5" customWidth="1"/>
    <col min="2" max="2" width="12" customWidth="1"/>
    <col min="3" max="3" width="28" customWidth="1"/>
    <col min="4" max="5" width="18" customWidth="1"/>
    <col min="6" max="6" width="16" customWidth="1"/>
    <col min="7" max="7" width="45" customWidth="1"/>
    <col min="8" max="8" width="16" customWidth="1"/>
    <col min="9" max="9" width="18" customWidth="1"/>
    <col min="10" max="10" width="22" customWidth="1"/>
    <col min="11" max="11" width="18" customWidth="1"/>
  </cols>
  <sheetData>
    <row r="1" spans="1:11" ht="31.95" customHeight="1" x14ac:dyDescent="0.25">
      <c r="A1" s="29" t="s">
        <v>546</v>
      </c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1:11" ht="19.95" customHeight="1" x14ac:dyDescent="0.25">
      <c r="A2" s="34" t="s">
        <v>547</v>
      </c>
      <c r="B2" s="25"/>
      <c r="C2" s="25"/>
      <c r="D2" s="25"/>
      <c r="E2" s="25"/>
      <c r="F2" s="25"/>
      <c r="G2" s="25"/>
      <c r="H2" s="25"/>
      <c r="I2" s="25"/>
      <c r="J2" s="25"/>
      <c r="K2" s="25"/>
    </row>
    <row r="4" spans="1:11" ht="14.4" x14ac:dyDescent="0.25">
      <c r="B4" s="5" t="s">
        <v>548</v>
      </c>
      <c r="C4" s="5" t="s">
        <v>549</v>
      </c>
      <c r="D4" s="5" t="s">
        <v>550</v>
      </c>
      <c r="E4" s="5" t="s">
        <v>419</v>
      </c>
      <c r="F4" s="5" t="s">
        <v>551</v>
      </c>
      <c r="G4" s="5" t="s">
        <v>552</v>
      </c>
      <c r="H4" s="5" t="s">
        <v>272</v>
      </c>
      <c r="I4" s="5" t="s">
        <v>111</v>
      </c>
      <c r="J4" s="5" t="s">
        <v>553</v>
      </c>
      <c r="K4" s="5" t="s">
        <v>554</v>
      </c>
    </row>
    <row r="5" spans="1:11" ht="14.4" x14ac:dyDescent="0.3">
      <c r="B5" s="4" t="s">
        <v>555</v>
      </c>
      <c r="C5" s="4" t="s">
        <v>556</v>
      </c>
      <c r="D5" s="4" t="s">
        <v>557</v>
      </c>
      <c r="E5" s="4" t="s">
        <v>179</v>
      </c>
      <c r="F5" s="4" t="s">
        <v>558</v>
      </c>
      <c r="G5" s="23" t="s">
        <v>559</v>
      </c>
      <c r="H5" s="16">
        <v>46037</v>
      </c>
      <c r="I5" s="4" t="s">
        <v>560</v>
      </c>
      <c r="J5" s="4" t="s">
        <v>561</v>
      </c>
    </row>
    <row r="6" spans="1:11" ht="14.4" x14ac:dyDescent="0.3">
      <c r="B6" s="4" t="s">
        <v>562</v>
      </c>
      <c r="C6" s="4" t="s">
        <v>563</v>
      </c>
      <c r="D6" s="4" t="s">
        <v>564</v>
      </c>
      <c r="E6" s="4" t="s">
        <v>565</v>
      </c>
      <c r="F6" s="4" t="s">
        <v>566</v>
      </c>
      <c r="G6" s="23" t="s">
        <v>567</v>
      </c>
      <c r="H6" s="16">
        <v>46042</v>
      </c>
      <c r="I6" s="4" t="s">
        <v>560</v>
      </c>
      <c r="J6" s="4" t="s">
        <v>561</v>
      </c>
    </row>
    <row r="7" spans="1:11" ht="14.4" x14ac:dyDescent="0.3">
      <c r="B7" s="4" t="s">
        <v>568</v>
      </c>
      <c r="C7" s="4" t="s">
        <v>569</v>
      </c>
      <c r="D7" s="4" t="s">
        <v>570</v>
      </c>
      <c r="E7" s="4" t="s">
        <v>179</v>
      </c>
      <c r="F7" s="4" t="s">
        <v>571</v>
      </c>
      <c r="G7" s="23" t="s">
        <v>572</v>
      </c>
      <c r="H7" s="16">
        <v>46054</v>
      </c>
      <c r="I7" s="4" t="s">
        <v>560</v>
      </c>
      <c r="J7" s="4" t="s">
        <v>573</v>
      </c>
    </row>
    <row r="8" spans="1:11" ht="14.4" x14ac:dyDescent="0.3">
      <c r="B8" s="4" t="s">
        <v>574</v>
      </c>
      <c r="C8" s="4" t="s">
        <v>575</v>
      </c>
      <c r="D8" s="4" t="s">
        <v>576</v>
      </c>
      <c r="E8" s="4" t="s">
        <v>577</v>
      </c>
      <c r="F8" s="4" t="s">
        <v>578</v>
      </c>
      <c r="G8" s="23" t="s">
        <v>579</v>
      </c>
      <c r="H8" s="16">
        <v>45809</v>
      </c>
      <c r="I8" s="4" t="s">
        <v>560</v>
      </c>
      <c r="J8" s="4" t="s">
        <v>580</v>
      </c>
    </row>
    <row r="9" spans="1:11" ht="14.4" x14ac:dyDescent="0.3">
      <c r="B9" s="4" t="s">
        <v>581</v>
      </c>
      <c r="C9" s="4" t="s">
        <v>575</v>
      </c>
      <c r="D9" s="4" t="s">
        <v>582</v>
      </c>
      <c r="E9" s="4" t="s">
        <v>583</v>
      </c>
      <c r="F9" s="4" t="s">
        <v>578</v>
      </c>
      <c r="G9" s="23" t="s">
        <v>584</v>
      </c>
      <c r="H9" s="16">
        <v>45809</v>
      </c>
      <c r="I9" s="4" t="s">
        <v>560</v>
      </c>
      <c r="J9" s="4" t="s">
        <v>580</v>
      </c>
    </row>
    <row r="10" spans="1:11" ht="14.4" x14ac:dyDescent="0.3">
      <c r="B10" s="4" t="s">
        <v>585</v>
      </c>
      <c r="C10" s="4" t="s">
        <v>586</v>
      </c>
      <c r="D10" s="4" t="s">
        <v>587</v>
      </c>
      <c r="E10" s="4" t="s">
        <v>179</v>
      </c>
      <c r="F10" s="4" t="s">
        <v>588</v>
      </c>
      <c r="G10" s="23" t="s">
        <v>589</v>
      </c>
      <c r="H10" s="16">
        <v>45870</v>
      </c>
      <c r="I10" s="4" t="s">
        <v>560</v>
      </c>
      <c r="J10" s="4" t="s">
        <v>113</v>
      </c>
    </row>
    <row r="11" spans="1:11" ht="14.4" x14ac:dyDescent="0.3">
      <c r="B11" s="4" t="s">
        <v>590</v>
      </c>
      <c r="C11" s="4" t="s">
        <v>591</v>
      </c>
      <c r="D11" s="4" t="s">
        <v>592</v>
      </c>
      <c r="E11" s="4" t="s">
        <v>577</v>
      </c>
      <c r="F11" s="4" t="s">
        <v>588</v>
      </c>
      <c r="G11" s="23" t="s">
        <v>593</v>
      </c>
      <c r="H11" s="16">
        <v>45778</v>
      </c>
      <c r="I11" s="4" t="s">
        <v>560</v>
      </c>
      <c r="J11" s="4" t="s">
        <v>594</v>
      </c>
    </row>
    <row r="12" spans="1:11" ht="14.4" x14ac:dyDescent="0.3">
      <c r="B12" s="4" t="s">
        <v>595</v>
      </c>
      <c r="C12" s="4" t="s">
        <v>596</v>
      </c>
      <c r="D12" s="4" t="s">
        <v>597</v>
      </c>
      <c r="E12" s="4" t="s">
        <v>179</v>
      </c>
      <c r="F12" s="4" t="s">
        <v>566</v>
      </c>
      <c r="G12" s="23" t="s">
        <v>598</v>
      </c>
      <c r="H12" s="16">
        <v>46032</v>
      </c>
      <c r="I12" s="4" t="s">
        <v>560</v>
      </c>
      <c r="J12" s="4" t="s">
        <v>561</v>
      </c>
    </row>
    <row r="13" spans="1:11" ht="14.4" x14ac:dyDescent="0.3">
      <c r="B13" s="4" t="s">
        <v>599</v>
      </c>
      <c r="C13" s="4" t="s">
        <v>600</v>
      </c>
      <c r="D13" s="4" t="s">
        <v>601</v>
      </c>
      <c r="E13" s="4" t="s">
        <v>602</v>
      </c>
      <c r="F13" s="4" t="s">
        <v>10</v>
      </c>
      <c r="G13" s="23" t="s">
        <v>603</v>
      </c>
      <c r="H13" s="16">
        <v>46054</v>
      </c>
      <c r="I13" s="4" t="s">
        <v>604</v>
      </c>
      <c r="J13" s="4" t="s">
        <v>179</v>
      </c>
    </row>
    <row r="14" spans="1:11" ht="14.4" x14ac:dyDescent="0.3">
      <c r="B14" s="4" t="s">
        <v>605</v>
      </c>
      <c r="C14" s="4" t="s">
        <v>600</v>
      </c>
      <c r="D14" s="4" t="s">
        <v>606</v>
      </c>
      <c r="E14" s="4" t="s">
        <v>602</v>
      </c>
      <c r="F14" s="4" t="s">
        <v>10</v>
      </c>
      <c r="G14" s="23" t="s">
        <v>607</v>
      </c>
      <c r="H14" s="16">
        <v>46054</v>
      </c>
      <c r="I14" s="4" t="s">
        <v>604</v>
      </c>
      <c r="J14" s="4" t="s">
        <v>505</v>
      </c>
    </row>
    <row r="15" spans="1:11" ht="14.4" x14ac:dyDescent="0.3">
      <c r="B15" s="4" t="s">
        <v>608</v>
      </c>
      <c r="C15" s="4" t="s">
        <v>600</v>
      </c>
      <c r="D15" s="4" t="s">
        <v>609</v>
      </c>
      <c r="E15" s="4" t="s">
        <v>602</v>
      </c>
      <c r="F15" s="4" t="s">
        <v>10</v>
      </c>
      <c r="G15" s="23" t="s">
        <v>610</v>
      </c>
      <c r="H15" s="16">
        <v>46054</v>
      </c>
      <c r="I15" s="4" t="s">
        <v>604</v>
      </c>
      <c r="J15" s="4" t="s">
        <v>177</v>
      </c>
    </row>
    <row r="16" spans="1:11" ht="14.4" x14ac:dyDescent="0.3">
      <c r="B16" s="4" t="s">
        <v>611</v>
      </c>
      <c r="C16" s="4" t="s">
        <v>612</v>
      </c>
      <c r="D16" s="4" t="s">
        <v>613</v>
      </c>
      <c r="E16" s="4" t="s">
        <v>285</v>
      </c>
      <c r="F16" s="4" t="s">
        <v>566</v>
      </c>
      <c r="G16" s="23" t="s">
        <v>614</v>
      </c>
      <c r="H16" s="16">
        <v>46023</v>
      </c>
      <c r="I16" s="4" t="s">
        <v>560</v>
      </c>
      <c r="J16" s="4" t="s">
        <v>615</v>
      </c>
    </row>
    <row r="17" spans="2:11" ht="14.4" x14ac:dyDescent="0.3">
      <c r="B17" s="4" t="s">
        <v>616</v>
      </c>
      <c r="C17" s="4" t="s">
        <v>617</v>
      </c>
      <c r="D17" s="4" t="s">
        <v>618</v>
      </c>
      <c r="E17" s="4" t="s">
        <v>285</v>
      </c>
      <c r="F17" s="4" t="s">
        <v>566</v>
      </c>
      <c r="G17" s="23" t="s">
        <v>619</v>
      </c>
      <c r="H17" s="16">
        <v>46023</v>
      </c>
      <c r="I17" s="4" t="s">
        <v>560</v>
      </c>
      <c r="J17" s="4" t="s">
        <v>620</v>
      </c>
    </row>
    <row r="18" spans="2:11" ht="14.4" x14ac:dyDescent="0.3">
      <c r="B18" s="4" t="s">
        <v>621</v>
      </c>
      <c r="C18" s="4" t="s">
        <v>622</v>
      </c>
      <c r="D18" s="4" t="s">
        <v>623</v>
      </c>
      <c r="E18" s="4" t="s">
        <v>285</v>
      </c>
      <c r="F18" s="4" t="s">
        <v>624</v>
      </c>
      <c r="G18" s="23" t="s">
        <v>625</v>
      </c>
      <c r="H18" s="16">
        <v>46023</v>
      </c>
      <c r="I18" s="4" t="s">
        <v>560</v>
      </c>
      <c r="J18" s="4" t="s">
        <v>626</v>
      </c>
    </row>
    <row r="19" spans="2:11" ht="14.4" x14ac:dyDescent="0.3">
      <c r="B19" s="4" t="s">
        <v>627</v>
      </c>
      <c r="C19" s="4" t="s">
        <v>628</v>
      </c>
      <c r="D19" s="4" t="s">
        <v>629</v>
      </c>
      <c r="E19" s="4" t="s">
        <v>630</v>
      </c>
      <c r="F19" s="4" t="s">
        <v>571</v>
      </c>
      <c r="G19" s="23" t="s">
        <v>631</v>
      </c>
      <c r="H19" s="16">
        <v>46054</v>
      </c>
      <c r="I19" s="4" t="s">
        <v>560</v>
      </c>
      <c r="J19" s="4" t="s">
        <v>632</v>
      </c>
    </row>
    <row r="20" spans="2:11" ht="14.4" x14ac:dyDescent="0.3">
      <c r="B20" s="4"/>
      <c r="C20" s="4"/>
      <c r="D20" s="4"/>
      <c r="E20" s="4"/>
      <c r="F20" s="4"/>
      <c r="G20" s="4"/>
      <c r="H20" s="16"/>
      <c r="I20" s="4"/>
      <c r="J20" s="4"/>
      <c r="K20" s="4"/>
    </row>
    <row r="21" spans="2:11" ht="14.4" x14ac:dyDescent="0.3">
      <c r="B21" s="4"/>
      <c r="C21" s="4"/>
      <c r="D21" s="4"/>
      <c r="E21" s="4"/>
      <c r="F21" s="4"/>
      <c r="G21" s="4"/>
      <c r="H21" s="16"/>
      <c r="I21" s="4"/>
      <c r="J21" s="4"/>
      <c r="K21" s="4"/>
    </row>
    <row r="22" spans="2:11" ht="14.4" x14ac:dyDescent="0.3">
      <c r="B22" s="4"/>
      <c r="C22" s="4"/>
      <c r="D22" s="4"/>
      <c r="E22" s="4"/>
      <c r="F22" s="4"/>
      <c r="G22" s="4"/>
      <c r="H22" s="16"/>
      <c r="I22" s="4"/>
      <c r="J22" s="4"/>
      <c r="K22" s="4"/>
    </row>
    <row r="23" spans="2:11" ht="14.4" x14ac:dyDescent="0.3">
      <c r="B23" s="4"/>
      <c r="C23" s="4"/>
      <c r="D23" s="4"/>
      <c r="E23" s="4"/>
      <c r="F23" s="4"/>
      <c r="G23" s="4"/>
      <c r="H23" s="16"/>
      <c r="I23" s="4"/>
      <c r="J23" s="4"/>
      <c r="K23" s="4"/>
    </row>
    <row r="24" spans="2:11" ht="14.4" x14ac:dyDescent="0.3">
      <c r="B24" s="4"/>
      <c r="C24" s="4"/>
      <c r="D24" s="4"/>
      <c r="E24" s="4"/>
      <c r="F24" s="4"/>
      <c r="G24" s="4"/>
      <c r="H24" s="16"/>
      <c r="I24" s="4"/>
      <c r="J24" s="4"/>
      <c r="K24" s="4"/>
    </row>
    <row r="25" spans="2:11" ht="14.4" x14ac:dyDescent="0.3">
      <c r="B25" s="4"/>
      <c r="C25" s="4"/>
      <c r="D25" s="4"/>
      <c r="E25" s="4"/>
      <c r="F25" s="4"/>
      <c r="G25" s="4"/>
      <c r="H25" s="16"/>
      <c r="I25" s="4"/>
      <c r="J25" s="4"/>
      <c r="K25" s="4"/>
    </row>
    <row r="26" spans="2:11" ht="14.4" x14ac:dyDescent="0.3">
      <c r="B26" s="4"/>
      <c r="C26" s="4"/>
      <c r="D26" s="4"/>
      <c r="E26" s="4"/>
      <c r="F26" s="4"/>
      <c r="G26" s="4"/>
      <c r="H26" s="16"/>
      <c r="I26" s="4"/>
      <c r="J26" s="4"/>
      <c r="K26" s="4"/>
    </row>
    <row r="27" spans="2:11" ht="14.4" x14ac:dyDescent="0.3">
      <c r="B27" s="4"/>
      <c r="C27" s="4"/>
      <c r="D27" s="4"/>
      <c r="E27" s="4"/>
      <c r="F27" s="4"/>
      <c r="G27" s="4"/>
      <c r="H27" s="16"/>
      <c r="I27" s="4"/>
      <c r="J27" s="4"/>
      <c r="K27" s="4"/>
    </row>
    <row r="28" spans="2:11" ht="14.4" x14ac:dyDescent="0.3">
      <c r="B28" s="4"/>
      <c r="C28" s="4"/>
      <c r="D28" s="4"/>
      <c r="E28" s="4"/>
      <c r="F28" s="4"/>
      <c r="G28" s="4"/>
      <c r="H28" s="16"/>
      <c r="I28" s="4"/>
      <c r="J28" s="4"/>
      <c r="K28" s="4"/>
    </row>
    <row r="29" spans="2:11" ht="14.4" x14ac:dyDescent="0.3">
      <c r="B29" s="4"/>
      <c r="C29" s="4"/>
      <c r="D29" s="4"/>
      <c r="E29" s="4"/>
      <c r="F29" s="4"/>
      <c r="G29" s="4"/>
      <c r="H29" s="16"/>
      <c r="I29" s="4"/>
      <c r="J29" s="4"/>
      <c r="K29" s="4"/>
    </row>
    <row r="30" spans="2:11" ht="14.4" x14ac:dyDescent="0.3">
      <c r="B30" s="4"/>
      <c r="C30" s="4"/>
      <c r="D30" s="4"/>
      <c r="E30" s="4"/>
      <c r="F30" s="4"/>
      <c r="G30" s="4"/>
      <c r="H30" s="16"/>
      <c r="I30" s="4"/>
      <c r="J30" s="4"/>
      <c r="K30" s="4"/>
    </row>
    <row r="31" spans="2:11" ht="14.4" x14ac:dyDescent="0.3">
      <c r="B31" s="4"/>
      <c r="C31" s="4"/>
      <c r="D31" s="4"/>
      <c r="E31" s="4"/>
      <c r="F31" s="4"/>
      <c r="G31" s="4"/>
      <c r="H31" s="16"/>
      <c r="I31" s="4"/>
      <c r="J31" s="4"/>
      <c r="K31" s="4"/>
    </row>
    <row r="32" spans="2:11" ht="14.4" x14ac:dyDescent="0.3">
      <c r="B32" s="4"/>
      <c r="C32" s="4"/>
      <c r="D32" s="4"/>
      <c r="E32" s="4"/>
      <c r="F32" s="4"/>
      <c r="G32" s="4"/>
      <c r="H32" s="16"/>
      <c r="I32" s="4"/>
      <c r="J32" s="4"/>
      <c r="K32" s="4"/>
    </row>
    <row r="33" spans="2:11" ht="14.4" x14ac:dyDescent="0.3">
      <c r="B33" s="4"/>
      <c r="C33" s="4"/>
      <c r="D33" s="4"/>
      <c r="E33" s="4"/>
      <c r="F33" s="4"/>
      <c r="G33" s="4"/>
      <c r="H33" s="16"/>
      <c r="I33" s="4"/>
      <c r="J33" s="4"/>
      <c r="K33" s="4"/>
    </row>
    <row r="34" spans="2:11" ht="14.4" x14ac:dyDescent="0.3">
      <c r="B34" s="4"/>
      <c r="C34" s="4"/>
      <c r="D34" s="4"/>
      <c r="E34" s="4"/>
      <c r="F34" s="4"/>
      <c r="G34" s="4"/>
      <c r="H34" s="16"/>
      <c r="I34" s="4"/>
      <c r="J34" s="4"/>
      <c r="K34" s="4"/>
    </row>
    <row r="35" spans="2:11" ht="14.4" x14ac:dyDescent="0.3">
      <c r="B35" s="4"/>
      <c r="C35" s="4"/>
      <c r="D35" s="4"/>
      <c r="E35" s="4"/>
      <c r="F35" s="4"/>
      <c r="G35" s="4"/>
      <c r="H35" s="16"/>
      <c r="I35" s="4"/>
      <c r="J35" s="4"/>
      <c r="K35" s="4"/>
    </row>
    <row r="36" spans="2:11" ht="14.4" x14ac:dyDescent="0.3">
      <c r="B36" s="4"/>
      <c r="C36" s="4"/>
      <c r="D36" s="4"/>
      <c r="E36" s="4"/>
      <c r="F36" s="4"/>
      <c r="G36" s="4"/>
      <c r="H36" s="16"/>
      <c r="I36" s="4"/>
      <c r="J36" s="4"/>
      <c r="K36" s="4"/>
    </row>
    <row r="37" spans="2:11" ht="14.4" x14ac:dyDescent="0.3">
      <c r="B37" s="4"/>
      <c r="C37" s="4"/>
      <c r="D37" s="4"/>
      <c r="E37" s="4"/>
      <c r="F37" s="4"/>
      <c r="G37" s="4"/>
      <c r="H37" s="16"/>
      <c r="I37" s="4"/>
      <c r="J37" s="4"/>
      <c r="K37" s="4"/>
    </row>
    <row r="38" spans="2:11" ht="14.4" x14ac:dyDescent="0.3">
      <c r="B38" s="4"/>
      <c r="C38" s="4"/>
      <c r="D38" s="4"/>
      <c r="E38" s="4"/>
      <c r="F38" s="4"/>
      <c r="G38" s="4"/>
      <c r="H38" s="16"/>
      <c r="I38" s="4"/>
      <c r="J38" s="4"/>
      <c r="K38" s="4"/>
    </row>
    <row r="39" spans="2:11" ht="14.4" x14ac:dyDescent="0.3">
      <c r="B39" s="4"/>
      <c r="C39" s="4"/>
      <c r="D39" s="4"/>
      <c r="E39" s="4"/>
      <c r="F39" s="4"/>
      <c r="G39" s="4"/>
      <c r="H39" s="16"/>
      <c r="I39" s="4"/>
      <c r="J39" s="4"/>
      <c r="K39" s="4"/>
    </row>
    <row r="40" spans="2:11" ht="14.4" x14ac:dyDescent="0.3">
      <c r="B40" s="4"/>
      <c r="C40" s="4"/>
      <c r="D40" s="4"/>
      <c r="E40" s="4"/>
      <c r="F40" s="4"/>
      <c r="G40" s="4"/>
      <c r="H40" s="16"/>
      <c r="I40" s="4"/>
      <c r="J40" s="4"/>
      <c r="K40" s="4"/>
    </row>
    <row r="41" spans="2:11" ht="14.4" x14ac:dyDescent="0.3">
      <c r="B41" s="4"/>
      <c r="C41" s="4"/>
      <c r="D41" s="4"/>
      <c r="E41" s="4"/>
      <c r="F41" s="4"/>
      <c r="G41" s="4"/>
      <c r="H41" s="16"/>
      <c r="I41" s="4"/>
      <c r="J41" s="4"/>
      <c r="K41" s="4"/>
    </row>
    <row r="42" spans="2:11" ht="14.4" x14ac:dyDescent="0.3">
      <c r="B42" s="4"/>
      <c r="C42" s="4"/>
      <c r="D42" s="4"/>
      <c r="E42" s="4"/>
      <c r="F42" s="4"/>
      <c r="G42" s="4"/>
      <c r="H42" s="16"/>
      <c r="I42" s="4"/>
      <c r="J42" s="4"/>
      <c r="K42" s="4"/>
    </row>
    <row r="43" spans="2:11" ht="14.4" x14ac:dyDescent="0.3">
      <c r="B43" s="4"/>
      <c r="C43" s="4"/>
      <c r="D43" s="4"/>
      <c r="E43" s="4"/>
      <c r="F43" s="4"/>
      <c r="G43" s="4"/>
      <c r="H43" s="16"/>
      <c r="I43" s="4"/>
      <c r="J43" s="4"/>
      <c r="K43" s="4"/>
    </row>
    <row r="44" spans="2:11" ht="14.4" x14ac:dyDescent="0.3">
      <c r="B44" s="4"/>
      <c r="C44" s="4"/>
      <c r="D44" s="4"/>
      <c r="E44" s="4"/>
      <c r="F44" s="4"/>
      <c r="G44" s="4"/>
      <c r="H44" s="16"/>
      <c r="I44" s="4"/>
      <c r="J44" s="4"/>
      <c r="K44" s="4"/>
    </row>
    <row r="45" spans="2:11" ht="14.4" x14ac:dyDescent="0.3">
      <c r="B45" s="4"/>
      <c r="C45" s="4"/>
      <c r="D45" s="4"/>
      <c r="E45" s="4"/>
      <c r="F45" s="4"/>
      <c r="G45" s="4"/>
      <c r="H45" s="16"/>
      <c r="I45" s="4"/>
      <c r="J45" s="4"/>
      <c r="K45" s="4"/>
    </row>
    <row r="46" spans="2:11" ht="14.4" x14ac:dyDescent="0.3">
      <c r="B46" s="4"/>
      <c r="C46" s="4"/>
      <c r="D46" s="4"/>
      <c r="E46" s="4"/>
      <c r="F46" s="4"/>
      <c r="G46" s="4"/>
      <c r="H46" s="16"/>
      <c r="I46" s="4"/>
      <c r="J46" s="4"/>
      <c r="K46" s="4"/>
    </row>
    <row r="47" spans="2:11" ht="14.4" x14ac:dyDescent="0.3">
      <c r="B47" s="4"/>
      <c r="C47" s="4"/>
      <c r="D47" s="4"/>
      <c r="E47" s="4"/>
      <c r="F47" s="4"/>
      <c r="G47" s="4"/>
      <c r="H47" s="16"/>
      <c r="I47" s="4"/>
      <c r="J47" s="4"/>
      <c r="K47" s="4"/>
    </row>
    <row r="48" spans="2:11" ht="14.4" x14ac:dyDescent="0.3">
      <c r="B48" s="4"/>
      <c r="C48" s="4"/>
      <c r="D48" s="4"/>
      <c r="E48" s="4"/>
      <c r="F48" s="4"/>
      <c r="G48" s="4"/>
      <c r="H48" s="16"/>
      <c r="I48" s="4"/>
      <c r="J48" s="4"/>
      <c r="K48" s="4"/>
    </row>
    <row r="49" spans="2:11" ht="14.4" x14ac:dyDescent="0.3">
      <c r="B49" s="4"/>
      <c r="C49" s="4"/>
      <c r="D49" s="4"/>
      <c r="E49" s="4"/>
      <c r="F49" s="4"/>
      <c r="G49" s="4"/>
      <c r="H49" s="16"/>
      <c r="I49" s="4"/>
      <c r="J49" s="4"/>
      <c r="K49" s="4"/>
    </row>
    <row r="52" spans="2:11" x14ac:dyDescent="0.25">
      <c r="B52" s="51" t="s">
        <v>633</v>
      </c>
      <c r="C52" s="25"/>
      <c r="D52" s="25"/>
      <c r="E52" s="25"/>
      <c r="F52" s="25"/>
      <c r="G52" s="25"/>
      <c r="H52" s="25"/>
      <c r="I52" s="25"/>
      <c r="J52" s="25"/>
      <c r="K52" s="25"/>
    </row>
    <row r="53" spans="2:11" x14ac:dyDescent="0.25">
      <c r="B53" s="25"/>
      <c r="C53" s="25"/>
      <c r="D53" s="25"/>
      <c r="E53" s="25"/>
      <c r="F53" s="25"/>
      <c r="G53" s="25"/>
      <c r="H53" s="25"/>
      <c r="I53" s="25"/>
      <c r="J53" s="25"/>
      <c r="K53" s="25"/>
    </row>
  </sheetData>
  <mergeCells count="3">
    <mergeCell ref="A2:K2"/>
    <mergeCell ref="B52:K53"/>
    <mergeCell ref="A1:K1"/>
  </mergeCells>
  <dataValidations count="2">
    <dataValidation type="list" allowBlank="1" sqref="C5:C50" xr:uid="{00000000-0002-0000-0C00-000000000000}">
      <formula1>"HSE Plan,Security Plan,PTW Manual,Policy,Procedure,Standard,Risk,CV — EHS Staff,Form,Checklist,Report,Materials,Other"</formula1>
    </dataValidation>
    <dataValidation type="list" allowBlank="1" sqref="I5:I50" xr:uid="{00000000-0002-0000-0C00-000001000000}">
      <formula1>"Approved,Live,Draft,Superseded,Missing file"</formula1>
    </dataValidation>
  </dataValidations>
  <pageMargins left="0.75" right="0.75" top="1" bottom="1" header="0.5" footer="0.5"/>
  <pageSetup paperSize="9" fitToHeight="0" orientation="landscape"/>
  <headerFooter>
    <oddHeader>&amp;LKAZ PP Expansion | EHS</oddHeader>
    <oddFooter>&amp;RConfidential | 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17</vt:i4>
      </vt:variant>
    </vt:vector>
  </HeadingPairs>
  <TitlesOfParts>
    <vt:vector size="30" baseType="lpstr">
      <vt:lpstr>Cover</vt:lpstr>
      <vt:lpstr>Dashboard</vt:lpstr>
      <vt:lpstr>Lookups</vt:lpstr>
      <vt:lpstr>Admin</vt:lpstr>
      <vt:lpstr>ManHours</vt:lpstr>
      <vt:lpstr>Incidents</vt:lpstr>
      <vt:lpstr>Observations</vt:lpstr>
      <vt:lpstr>NCR</vt:lpstr>
      <vt:lpstr>Scorecard</vt:lpstr>
      <vt:lpstr>CAPA_AI</vt:lpstr>
      <vt:lpstr>Training</vt:lpstr>
      <vt:lpstr>Equipment</vt:lpstr>
      <vt:lpstr>Documents</vt:lpstr>
      <vt:lpstr>AdminPassword</vt:lpstr>
      <vt:lpstr>LTIFR</vt:lpstr>
      <vt:lpstr>Admin!Print_Titles</vt:lpstr>
      <vt:lpstr>CAPA_AI!Print_Titles</vt:lpstr>
      <vt:lpstr>Cover!Print_Titles</vt:lpstr>
      <vt:lpstr>Dashboard!Print_Titles</vt:lpstr>
      <vt:lpstr>Documents!Print_Titles</vt:lpstr>
      <vt:lpstr>Equipment!Print_Titles</vt:lpstr>
      <vt:lpstr>Incidents!Print_Titles</vt:lpstr>
      <vt:lpstr>Lookups!Print_Titles</vt:lpstr>
      <vt:lpstr>ManHours!Print_Titles</vt:lpstr>
      <vt:lpstr>NCR!Print_Titles</vt:lpstr>
      <vt:lpstr>Observations!Print_Titles</vt:lpstr>
      <vt:lpstr>Scorecard!Print_Titles</vt:lpstr>
      <vt:lpstr>Training!Print_Titles</vt:lpstr>
      <vt:lpstr>TotalManHours</vt:lpstr>
      <vt:lpstr>TRIFR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Ahmed Aljassem</cp:lastModifiedBy>
  <dcterms:created xsi:type="dcterms:W3CDTF">2026-09-09T15:39:42Z</dcterms:created>
  <dcterms:modified xsi:type="dcterms:W3CDTF">2026-09-10T09:57:13Z</dcterms:modified>
</cp:coreProperties>
</file>