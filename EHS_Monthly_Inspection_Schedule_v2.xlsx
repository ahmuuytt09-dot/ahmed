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56db90409307eee/Desktop/"/>
    </mc:Choice>
  </mc:AlternateContent>
  <xr:revisionPtr revIDLastSave="0" documentId="8_{60702BBE-9251-4982-BBF9-7E9C493520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onthly Schedule" sheetId="1" r:id="rId1"/>
    <sheet name="Detailed Checklis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E5" i="1"/>
  <c r="C5" i="1"/>
  <c r="A5" i="1"/>
</calcChain>
</file>

<file path=xl/sharedStrings.xml><?xml version="1.0" encoding="utf-8"?>
<sst xmlns="http://schemas.openxmlformats.org/spreadsheetml/2006/main" count="264" uniqueCount="199">
  <si>
    <t>EHS Monthly Inspection Schedule</t>
  </si>
  <si>
    <t>Daily Environment, Health &amp; Safety Inspection Plan for Plant Equipment and Systems</t>
  </si>
  <si>
    <t>Total Inspections</t>
  </si>
  <si>
    <t>Completed</t>
  </si>
  <si>
    <t>Pending</t>
  </si>
  <si>
    <t>Overdue / Deferred</t>
  </si>
  <si>
    <t>Day</t>
  </si>
  <si>
    <t>Inspection Type / Equipment Scope</t>
  </si>
  <si>
    <t>Location / Area</t>
  </si>
  <si>
    <t>Inspector / Responsible</t>
  </si>
  <si>
    <t>Scheduled Date</t>
  </si>
  <si>
    <t>Status</t>
  </si>
  <si>
    <t>Remarks / Findings</t>
  </si>
  <si>
    <t>Day 1</t>
  </si>
  <si>
    <t>First Aid Kits Inspection</t>
  </si>
  <si>
    <t>All Departments &amp; Site Offices</t>
  </si>
  <si>
    <t>EHS Officer</t>
  </si>
  <si>
    <t>2026-09-01</t>
  </si>
  <si>
    <t>Day 2</t>
  </si>
  <si>
    <t>Spill Kits &amp; Absorbent Stock Check</t>
  </si>
  <si>
    <t>Chemical Stores &amp; Workshops</t>
  </si>
  <si>
    <t>Environmental Tech</t>
  </si>
  <si>
    <t>2026-09-02</t>
  </si>
  <si>
    <t>Day 3</t>
  </si>
  <si>
    <t>Fire Extinguishers Inspection</t>
  </si>
  <si>
    <t>Admin Building &amp; Warehouses</t>
  </si>
  <si>
    <t>Safety Technician</t>
  </si>
  <si>
    <t>2026-09-03</t>
  </si>
  <si>
    <t>Day 4</t>
  </si>
  <si>
    <t>Personal Protective Equipment (PPE Check)</t>
  </si>
  <si>
    <t>All Site Personnel &amp; Workers</t>
  </si>
  <si>
    <t>Site Supervisor</t>
  </si>
  <si>
    <t>2026-09-04</t>
  </si>
  <si>
    <t>Day 5</t>
  </si>
  <si>
    <t>Emergency Eye Wash &amp; Shower Stations</t>
  </si>
  <si>
    <t>Laboratories &amp; Chemical Areas</t>
  </si>
  <si>
    <t>2026-09-05</t>
  </si>
  <si>
    <t>Day 6</t>
  </si>
  <si>
    <t>Scaffolding &amp; Work Platforms Inspection</t>
  </si>
  <si>
    <t>Construction &amp; Maintenance Sites</t>
  </si>
  <si>
    <t>Scaffolding Inspector</t>
  </si>
  <si>
    <t>2026-09-06</t>
  </si>
  <si>
    <t>Day 7</t>
  </si>
  <si>
    <t>Portable &amp; Fixed Gas Detectors</t>
  </si>
  <si>
    <t>Confined Spaces &amp; Process Areas</t>
  </si>
  <si>
    <t>2026-09-07</t>
  </si>
  <si>
    <t>Day 8</t>
  </si>
  <si>
    <t>Electrical Panels &amp; Cable Integrity Check</t>
  </si>
  <si>
    <t>Substations &amp; Generator Rooms</t>
  </si>
  <si>
    <t>Electrical Tech</t>
  </si>
  <si>
    <t>2026-09-08</t>
  </si>
  <si>
    <t>Day 9</t>
  </si>
  <si>
    <t>Fire Alarm &amp; Detection Systems</t>
  </si>
  <si>
    <t>All Buildings &amp; Control Rooms</t>
  </si>
  <si>
    <t>Fire Tech</t>
  </si>
  <si>
    <t>2026-09-09</t>
  </si>
  <si>
    <t>Day 10</t>
  </si>
  <si>
    <t>Lifting Equipment, Webbing &amp; Slings</t>
  </si>
  <si>
    <t>Maintenance Workshop &amp; Rigging</t>
  </si>
  <si>
    <t>Lifting Inspector</t>
  </si>
  <si>
    <t>2026-09-10</t>
  </si>
  <si>
    <t>Day 11</t>
  </si>
  <si>
    <t>Fall Protection (Harnesses &amp; Lanyards)</t>
  </si>
  <si>
    <t>Safety Store &amp; High-Risk Areas</t>
  </si>
  <si>
    <t>2026-09-11</t>
  </si>
  <si>
    <t>Day 12</t>
  </si>
  <si>
    <t>Compressed Gas Cylinders &amp; Storage</t>
  </si>
  <si>
    <t>Welding Shops &amp; Storage Yards</t>
  </si>
  <si>
    <t>Workshop Supervisor</t>
  </si>
  <si>
    <t>2026-09-12</t>
  </si>
  <si>
    <t>Day 13</t>
  </si>
  <si>
    <t>Emergency Exits &amp; Evacuation Routes</t>
  </si>
  <si>
    <t>All Site Facilities &amp; Buildings</t>
  </si>
  <si>
    <t>2026-09-13</t>
  </si>
  <si>
    <t>Day 14</t>
  </si>
  <si>
    <t>Excavation, Trenching &amp; Shoring Safety</t>
  </si>
  <si>
    <t>Active Excavation Zones</t>
  </si>
  <si>
    <t>Site Engineer</t>
  </si>
  <si>
    <t>2026-09-14</t>
  </si>
  <si>
    <t>Day 15</t>
  </si>
  <si>
    <t>Emergency Lighting Systems</t>
  </si>
  <si>
    <t>Corridors, Stairwells &amp; Exits</t>
  </si>
  <si>
    <t>2026-09-15</t>
  </si>
  <si>
    <t>Day 16</t>
  </si>
  <si>
    <t>Fire Water Pumps &amp; Storage Tanks</t>
  </si>
  <si>
    <t>Fire Pump Station</t>
  </si>
  <si>
    <t>Maintenance Engineer</t>
  </si>
  <si>
    <t>2026-09-16</t>
  </si>
  <si>
    <t>Day 17</t>
  </si>
  <si>
    <t>Heavy Vehicles &amp; Mobile Equipment Inspection</t>
  </si>
  <si>
    <t>Equipment Yard &amp; Transport</t>
  </si>
  <si>
    <t>Fleet Supervisor</t>
  </si>
  <si>
    <t>2026-09-17</t>
  </si>
  <si>
    <t>Day 18</t>
  </si>
  <si>
    <t>Chemical Storage &amp; SDS Verification</t>
  </si>
  <si>
    <t>Central Chemical Store</t>
  </si>
  <si>
    <t>Chemical/EHS Tech</t>
  </si>
  <si>
    <t>2026-09-18</t>
  </si>
  <si>
    <t>Day 19</t>
  </si>
  <si>
    <t>Lockout / Tagout (LOTO) Devices &amp; Audits</t>
  </si>
  <si>
    <t>Workshops &amp; Isolation Points</t>
  </si>
  <si>
    <t>Safety Engineer</t>
  </si>
  <si>
    <t>2026-09-19</t>
  </si>
  <si>
    <t>Day 20</t>
  </si>
  <si>
    <t>Housekeeping &amp; 5S Audit</t>
  </si>
  <si>
    <t>Workshops, Yard &amp; Offices</t>
  </si>
  <si>
    <t>EHS Committee</t>
  </si>
  <si>
    <t>2026-09-20</t>
  </si>
  <si>
    <t>Day 21</t>
  </si>
  <si>
    <t>HVAC &amp; Mechanical Ventilation Systems</t>
  </si>
  <si>
    <t>Enclosed Workspaces &amp; Control Rooms</t>
  </si>
  <si>
    <t>HVAC Tech</t>
  </si>
  <si>
    <t>2026-09-21</t>
  </si>
  <si>
    <t>Day 22</t>
  </si>
  <si>
    <t>Welding &amp; Hot Work Safety Equipment</t>
  </si>
  <si>
    <t>Fabrication Shop &amp; Hot Work Areas</t>
  </si>
  <si>
    <t>Safety Supervisor</t>
  </si>
  <si>
    <t>2026-09-22</t>
  </si>
  <si>
    <t>Day 23</t>
  </si>
  <si>
    <t>Fuel Storage Tanks &amp; Containment Bunds</t>
  </si>
  <si>
    <t>Fuel Station &amp; Generator Bunds</t>
  </si>
  <si>
    <t>2026-09-23</t>
  </si>
  <si>
    <t>Day 25</t>
  </si>
  <si>
    <t>Emergency Communication Equipment</t>
  </si>
  <si>
    <t>Control Room &amp; Duty Offices</t>
  </si>
  <si>
    <t>Communications Officer</t>
  </si>
  <si>
    <t>2026-09-25</t>
  </si>
  <si>
    <t>Day 26</t>
  </si>
  <si>
    <t>Waste Storage &amp; Segregation Bins</t>
  </si>
  <si>
    <t>Waste Management Areas</t>
  </si>
  <si>
    <t>Environmental Officer</t>
  </si>
  <si>
    <t>2026-09-26</t>
  </si>
  <si>
    <t>Day 27</t>
  </si>
  <si>
    <t>Earthing &amp; Grounding Systems Check</t>
  </si>
  <si>
    <t>Generators &amp; Heavy Equipment</t>
  </si>
  <si>
    <t>2026-09-27</t>
  </si>
  <si>
    <t>Day 28</t>
  </si>
  <si>
    <t>Canteen, Welfare &amp; Sanitation Facilities</t>
  </si>
  <si>
    <t>Rest Caravans &amp; Canteen Area</t>
  </si>
  <si>
    <t>Services Supervisor</t>
  </si>
  <si>
    <t>2026-09-28</t>
  </si>
  <si>
    <t>Day 29</t>
  </si>
  <si>
    <t>Safety Signage, Barriers &amp; Barricades</t>
  </si>
  <si>
    <t>Site Access Roads &amp; Pedestrian Paths</t>
  </si>
  <si>
    <t>2026-09-29</t>
  </si>
  <si>
    <t>Day 30</t>
  </si>
  <si>
    <t>Monthly EHS Inspection Audit &amp; Review</t>
  </si>
  <si>
    <t>EHS Management Office</t>
  </si>
  <si>
    <t>EHS Manager</t>
  </si>
  <si>
    <t>2026-09-30</t>
  </si>
  <si>
    <t>Key Equipment Detailed Checklists</t>
  </si>
  <si>
    <t>Item Code</t>
  </si>
  <si>
    <t>Inspection Category</t>
  </si>
  <si>
    <t>Check Item / Criteria</t>
  </si>
  <si>
    <t>Verification Method</t>
  </si>
  <si>
    <t>Compliance Status</t>
  </si>
  <si>
    <t>Remarks</t>
  </si>
  <si>
    <t>FA-01</t>
  </si>
  <si>
    <t>First Aid Kits</t>
  </si>
  <si>
    <t>Completeness and expiry dates of medical supplies verified</t>
  </si>
  <si>
    <t>Visual / Checklist</t>
  </si>
  <si>
    <t>Compliant</t>
  </si>
  <si>
    <t>All stock verified</t>
  </si>
  <si>
    <t>FA-02</t>
  </si>
  <si>
    <t>Box accessibility, cleanliness, and clear signage</t>
  </si>
  <si>
    <t>Visual Check</t>
  </si>
  <si>
    <t>FA-03</t>
  </si>
  <si>
    <t>Usage logbook present and updated</t>
  </si>
  <si>
    <t>Log Audit</t>
  </si>
  <si>
    <t>SK-01</t>
  </si>
  <si>
    <t>Spill Kits</t>
  </si>
  <si>
    <t>Absorbent pads, socks, disposal bags, and PPE complete</t>
  </si>
  <si>
    <t>Physical Check</t>
  </si>
  <si>
    <t>SK-02</t>
  </si>
  <si>
    <t>Container condition intact and free from obstructions</t>
  </si>
  <si>
    <t>SK-03</t>
  </si>
  <si>
    <t>Spill response procedure posted nearby</t>
  </si>
  <si>
    <t>FE-01</t>
  </si>
  <si>
    <t>Fire Extinguishers</t>
  </si>
  <si>
    <t>Pressure gauge in green zone, safety pin and seal intact</t>
  </si>
  <si>
    <t>FE-02</t>
  </si>
  <si>
    <t>Mounted correctly with unobstructed access</t>
  </si>
  <si>
    <t>FE-03</t>
  </si>
  <si>
    <t>Valid monthly inspection tag attached</t>
  </si>
  <si>
    <t>Tag Audit</t>
  </si>
  <si>
    <t>EW-01</t>
  </si>
  <si>
    <t>Eye Wash Stations</t>
  </si>
  <si>
    <t>Water flow, pressure, and cleanliness operational check</t>
  </si>
  <si>
    <t>Functional Test</t>
  </si>
  <si>
    <t>EW-02</t>
  </si>
  <si>
    <t>Area surrounding station clear of debris and trip hazards</t>
  </si>
  <si>
    <t>EL-01</t>
  </si>
  <si>
    <t>Electrical Panels</t>
  </si>
  <si>
    <t>Panels closed/locked with warning signage displayed</t>
  </si>
  <si>
    <t>EL-02</t>
  </si>
  <si>
    <t>Cable insulation intact with no exposed live wires</t>
  </si>
  <si>
    <t>Visual Test</t>
  </si>
  <si>
    <t>Day 24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</si>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</sst>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0"/>
      <color rgb="FF595959"/>
      <name val="Calibri"/>
    </font>
    <font>
      <b/>
      <sz val="18"/>
      <color rgb="FF1F4E78"/>
      <name val="Calibri"/>
    </font>
    <font>
      <b/>
      <sz val="11"/>
      <color rgb="FFFFFFFF"/>
      <name val="Calibri"/>
    </font>
    <font>
      <sz val="11"/>
      <name val="Calibri"/>
    </font>
    <font>
      <sz val="8"/>
      <name val="Arial"/>
      <family val="2"/>
      <scheme val="minor"/>
    </font>
    <font>
      <sz val="11"/>
      <color rgb="FFC00000"/>
      <name val="Calibri"/>
    </font>
    <font>
      <sz val="11"/>
      <color rgb="FFC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F2F5F9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8" fillId="6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9" fillId="7" borderId="0" xfId="0" applyFont="1" applyFill="1"/>
  </cellXfs>
  <cellStyles count="1">
    <cellStyle name="Normal" xfId="0" builtinId="0"/>
  </cellStyles>
  <dxfs count="4"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EFDA"/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C1" workbookViewId="0">
      <selection activeCell="B34" sqref="B34"/>
    </sheetView>
  </sheetViews>
  <sheetFormatPr defaultRowHeight="14" x14ac:dyDescent="0.3"/>
  <cols>
    <col min="1" max="1" width="12" customWidth="1"/>
    <col min="2" max="2" width="45" customWidth="1"/>
    <col min="3" max="3" width="38" customWidth="1"/>
    <col min="4" max="4" width="25" customWidth="1"/>
    <col min="5" max="6" width="18" customWidth="1"/>
    <col min="7" max="7" width="30" customWidth="1"/>
  </cols>
  <sheetData>
    <row r="1" spans="1:7" ht="21" x14ac:dyDescent="0.3">
      <c r="A1" s="10" t="s">
        <v>0</v>
      </c>
      <c r="B1" s="9"/>
      <c r="C1" s="9"/>
      <c r="D1" s="9"/>
      <c r="E1" s="9"/>
      <c r="F1" s="9"/>
      <c r="G1" s="9"/>
    </row>
    <row r="2" spans="1:7" ht="14.5" x14ac:dyDescent="0.3">
      <c r="A2" s="8" t="s">
        <v>1</v>
      </c>
      <c r="B2" s="9"/>
      <c r="C2" s="9"/>
      <c r="D2" s="9"/>
      <c r="E2" s="9"/>
      <c r="F2" s="9"/>
      <c r="G2" s="9"/>
    </row>
    <row r="4" spans="1:7" ht="26" x14ac:dyDescent="0.3">
      <c r="A4" s="1" t="s">
        <v>2</v>
      </c>
      <c r="C4" s="1" t="s">
        <v>3</v>
      </c>
      <c r="E4" s="1" t="s">
        <v>4</v>
      </c>
      <c r="G4" s="1" t="s">
        <v>5</v>
      </c>
    </row>
    <row r="5" spans="1:7" ht="23.5" x14ac:dyDescent="0.3">
      <c r="A5" s="2">
        <f>COUNTA(B7:B36)</f>
        <v>30</v>
      </c>
      <c r="C5" s="2">
        <f>COUNTIF(F7:F36, "Completed")</f>
        <v>0</v>
      </c>
      <c r="E5" s="2">
        <f>COUNTIF(F7:F36, "Pending")</f>
        <v>29</v>
      </c>
      <c r="G5" s="2">
        <f>COUNTIF(F7:F36, "Deferred")</f>
        <v>0</v>
      </c>
    </row>
    <row r="6" spans="1:7" ht="14.5" x14ac:dyDescent="0.3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</row>
    <row r="7" spans="1:7" ht="14.5" x14ac:dyDescent="0.3">
      <c r="A7" s="4" t="s">
        <v>13</v>
      </c>
      <c r="B7" s="5" t="s">
        <v>14</v>
      </c>
      <c r="C7" s="5" t="s">
        <v>15</v>
      </c>
      <c r="D7" s="4" t="s">
        <v>16</v>
      </c>
      <c r="E7" s="4" t="s">
        <v>17</v>
      </c>
      <c r="F7" s="4" t="s">
        <v>4</v>
      </c>
      <c r="G7" s="5"/>
    </row>
    <row r="8" spans="1:7" ht="14.5" x14ac:dyDescent="0.3">
      <c r="A8" s="6" t="s">
        <v>18</v>
      </c>
      <c r="B8" s="7" t="s">
        <v>19</v>
      </c>
      <c r="C8" s="7" t="s">
        <v>20</v>
      </c>
      <c r="D8" s="6" t="s">
        <v>21</v>
      </c>
      <c r="E8" s="6" t="s">
        <v>22</v>
      </c>
      <c r="F8" s="6" t="s">
        <v>4</v>
      </c>
      <c r="G8" s="7"/>
    </row>
    <row r="9" spans="1:7" ht="14.5" x14ac:dyDescent="0.3">
      <c r="A9" s="4" t="s">
        <v>23</v>
      </c>
      <c r="B9" s="5" t="s">
        <v>24</v>
      </c>
      <c r="C9" s="5" t="s">
        <v>25</v>
      </c>
      <c r="D9" s="4" t="s">
        <v>26</v>
      </c>
      <c r="E9" s="4" t="s">
        <v>27</v>
      </c>
      <c r="F9" s="4" t="s">
        <v>4</v>
      </c>
      <c r="G9" s="5"/>
    </row>
    <row r="10" spans="1:7" ht="14.5" x14ac:dyDescent="0.3">
      <c r="A10" s="6" t="s">
        <v>28</v>
      </c>
      <c r="B10" s="7" t="s">
        <v>29</v>
      </c>
      <c r="C10" s="7" t="s">
        <v>30</v>
      </c>
      <c r="D10" s="6" t="s">
        <v>31</v>
      </c>
      <c r="E10" s="6" t="s">
        <v>32</v>
      </c>
      <c r="F10" s="6" t="s">
        <v>4</v>
      </c>
      <c r="G10" s="7"/>
    </row>
    <row r="11" spans="1:7" ht="14.5" x14ac:dyDescent="0.3">
      <c r="A11" s="4" t="s">
        <v>33</v>
      </c>
      <c r="B11" s="5" t="s">
        <v>34</v>
      </c>
      <c r="C11" s="5" t="s">
        <v>35</v>
      </c>
      <c r="D11" s="4" t="s">
        <v>16</v>
      </c>
      <c r="E11" s="4" t="s">
        <v>36</v>
      </c>
      <c r="F11" s="4" t="s">
        <v>4</v>
      </c>
      <c r="G11" s="5"/>
    </row>
    <row r="12" spans="1:7" ht="14.5" x14ac:dyDescent="0.3">
      <c r="A12" s="6" t="s">
        <v>37</v>
      </c>
      <c r="B12" s="7" t="s">
        <v>38</v>
      </c>
      <c r="C12" s="7" t="s">
        <v>39</v>
      </c>
      <c r="D12" s="6" t="s">
        <v>40</v>
      </c>
      <c r="E12" s="6" t="s">
        <v>41</v>
      </c>
      <c r="F12" s="6" t="s">
        <v>4</v>
      </c>
      <c r="G12" s="7"/>
    </row>
    <row r="13" spans="1:7" ht="14.5" x14ac:dyDescent="0.3">
      <c r="A13" s="4" t="s">
        <v>42</v>
      </c>
      <c r="B13" s="5" t="s">
        <v>43</v>
      </c>
      <c r="C13" s="5" t="s">
        <v>44</v>
      </c>
      <c r="D13" s="4" t="s">
        <v>26</v>
      </c>
      <c r="E13" s="4" t="s">
        <v>45</v>
      </c>
      <c r="F13" s="4" t="s">
        <v>4</v>
      </c>
      <c r="G13" s="5"/>
    </row>
    <row r="14" spans="1:7" ht="14.5" x14ac:dyDescent="0.3">
      <c r="A14" s="6" t="s">
        <v>46</v>
      </c>
      <c r="B14" s="7" t="s">
        <v>47</v>
      </c>
      <c r="C14" s="7" t="s">
        <v>48</v>
      </c>
      <c r="D14" s="6" t="s">
        <v>49</v>
      </c>
      <c r="E14" s="6" t="s">
        <v>50</v>
      </c>
      <c r="F14" s="6" t="s">
        <v>4</v>
      </c>
      <c r="G14" s="7"/>
    </row>
    <row r="15" spans="1:7" ht="14.5" x14ac:dyDescent="0.3">
      <c r="A15" s="4" t="s">
        <v>51</v>
      </c>
      <c r="B15" s="5" t="s">
        <v>52</v>
      </c>
      <c r="C15" s="5" t="s">
        <v>53</v>
      </c>
      <c r="D15" s="4" t="s">
        <v>54</v>
      </c>
      <c r="E15" s="4" t="s">
        <v>55</v>
      </c>
      <c r="F15" s="4" t="s">
        <v>4</v>
      </c>
      <c r="G15" s="5"/>
    </row>
    <row r="16" spans="1:7" ht="14.5" x14ac:dyDescent="0.3">
      <c r="A16" s="6" t="s">
        <v>56</v>
      </c>
      <c r="B16" s="7" t="s">
        <v>57</v>
      </c>
      <c r="C16" s="7" t="s">
        <v>58</v>
      </c>
      <c r="D16" s="6" t="s">
        <v>59</v>
      </c>
      <c r="E16" s="6" t="s">
        <v>60</v>
      </c>
      <c r="F16" s="6" t="s">
        <v>4</v>
      </c>
      <c r="G16" s="7"/>
    </row>
    <row r="17" spans="1:7" ht="14.5" x14ac:dyDescent="0.3">
      <c r="A17" s="4" t="s">
        <v>61</v>
      </c>
      <c r="B17" s="5" t="s">
        <v>62</v>
      </c>
      <c r="C17" s="5" t="s">
        <v>63</v>
      </c>
      <c r="D17" s="4" t="s">
        <v>16</v>
      </c>
      <c r="E17" s="4" t="s">
        <v>64</v>
      </c>
      <c r="F17" s="4" t="s">
        <v>4</v>
      </c>
      <c r="G17" s="5"/>
    </row>
    <row r="18" spans="1:7" ht="14.5" x14ac:dyDescent="0.3">
      <c r="A18" s="6" t="s">
        <v>65</v>
      </c>
      <c r="B18" s="7" t="s">
        <v>66</v>
      </c>
      <c r="C18" s="7" t="s">
        <v>67</v>
      </c>
      <c r="D18" s="6" t="s">
        <v>68</v>
      </c>
      <c r="E18" s="6" t="s">
        <v>69</v>
      </c>
      <c r="F18" s="6" t="s">
        <v>4</v>
      </c>
      <c r="G18" s="7"/>
    </row>
    <row r="19" spans="1:7" ht="14.5" x14ac:dyDescent="0.3">
      <c r="A19" s="4" t="s">
        <v>70</v>
      </c>
      <c r="B19" s="5" t="s">
        <v>71</v>
      </c>
      <c r="C19" s="5" t="s">
        <v>72</v>
      </c>
      <c r="D19" s="4" t="s">
        <v>16</v>
      </c>
      <c r="E19" s="4" t="s">
        <v>73</v>
      </c>
      <c r="F19" s="4" t="s">
        <v>4</v>
      </c>
      <c r="G19" s="5"/>
    </row>
    <row r="20" spans="1:7" ht="14.5" x14ac:dyDescent="0.3">
      <c r="A20" s="6" t="s">
        <v>74</v>
      </c>
      <c r="B20" s="7" t="s">
        <v>75</v>
      </c>
      <c r="C20" s="7" t="s">
        <v>76</v>
      </c>
      <c r="D20" s="6" t="s">
        <v>77</v>
      </c>
      <c r="E20" s="6" t="s">
        <v>78</v>
      </c>
      <c r="F20" s="6" t="s">
        <v>4</v>
      </c>
      <c r="G20" s="7"/>
    </row>
    <row r="21" spans="1:7" ht="14.5" x14ac:dyDescent="0.3">
      <c r="A21" s="4" t="s">
        <v>79</v>
      </c>
      <c r="B21" s="5" t="s">
        <v>80</v>
      </c>
      <c r="C21" s="5" t="s">
        <v>81</v>
      </c>
      <c r="D21" s="4" t="s">
        <v>49</v>
      </c>
      <c r="E21" s="4" t="s">
        <v>82</v>
      </c>
      <c r="F21" s="4" t="s">
        <v>4</v>
      </c>
      <c r="G21" s="5"/>
    </row>
    <row r="22" spans="1:7" ht="14.5" x14ac:dyDescent="0.3">
      <c r="A22" s="6" t="s">
        <v>83</v>
      </c>
      <c r="B22" s="7" t="s">
        <v>84</v>
      </c>
      <c r="C22" s="7" t="s">
        <v>85</v>
      </c>
      <c r="D22" s="6" t="s">
        <v>86</v>
      </c>
      <c r="E22" s="6" t="s">
        <v>87</v>
      </c>
      <c r="F22" s="6" t="s">
        <v>4</v>
      </c>
      <c r="G22" s="7"/>
    </row>
    <row r="23" spans="1:7" ht="14.5" x14ac:dyDescent="0.3">
      <c r="A23" s="4" t="s">
        <v>88</v>
      </c>
      <c r="B23" s="5" t="s">
        <v>89</v>
      </c>
      <c r="C23" s="5" t="s">
        <v>90</v>
      </c>
      <c r="D23" s="4" t="s">
        <v>91</v>
      </c>
      <c r="E23" s="4" t="s">
        <v>92</v>
      </c>
      <c r="F23" s="4" t="s">
        <v>4</v>
      </c>
      <c r="G23" s="5"/>
    </row>
    <row r="24" spans="1:7" ht="14.5" x14ac:dyDescent="0.3">
      <c r="A24" s="6" t="s">
        <v>93</v>
      </c>
      <c r="B24" s="7" t="s">
        <v>94</v>
      </c>
      <c r="C24" s="7" t="s">
        <v>95</v>
      </c>
      <c r="D24" s="6" t="s">
        <v>96</v>
      </c>
      <c r="E24" s="6" t="s">
        <v>97</v>
      </c>
      <c r="F24" s="6" t="s">
        <v>4</v>
      </c>
      <c r="G24" s="7"/>
    </row>
    <row r="25" spans="1:7" ht="14.5" x14ac:dyDescent="0.3">
      <c r="A25" s="4" t="s">
        <v>98</v>
      </c>
      <c r="B25" s="5" t="s">
        <v>99</v>
      </c>
      <c r="C25" s="5" t="s">
        <v>100</v>
      </c>
      <c r="D25" s="4" t="s">
        <v>101</v>
      </c>
      <c r="E25" s="4" t="s">
        <v>102</v>
      </c>
      <c r="F25" s="4" t="s">
        <v>4</v>
      </c>
      <c r="G25" s="5"/>
    </row>
    <row r="26" spans="1:7" ht="14.5" x14ac:dyDescent="0.3">
      <c r="A26" s="6" t="s">
        <v>103</v>
      </c>
      <c r="B26" s="7" t="s">
        <v>104</v>
      </c>
      <c r="C26" s="7" t="s">
        <v>105</v>
      </c>
      <c r="D26" s="6" t="s">
        <v>106</v>
      </c>
      <c r="E26" s="6" t="s">
        <v>107</v>
      </c>
      <c r="F26" s="6" t="s">
        <v>4</v>
      </c>
      <c r="G26" s="7"/>
    </row>
    <row r="27" spans="1:7" ht="14.5" x14ac:dyDescent="0.3">
      <c r="A27" s="4" t="s">
        <v>108</v>
      </c>
      <c r="B27" s="5" t="s">
        <v>109</v>
      </c>
      <c r="C27" s="5" t="s">
        <v>110</v>
      </c>
      <c r="D27" s="4" t="s">
        <v>111</v>
      </c>
      <c r="E27" s="4" t="s">
        <v>112</v>
      </c>
      <c r="F27" s="4" t="s">
        <v>4</v>
      </c>
      <c r="G27" s="5"/>
    </row>
    <row r="28" spans="1:7" ht="14.5" x14ac:dyDescent="0.3">
      <c r="A28" s="6" t="s">
        <v>113</v>
      </c>
      <c r="B28" s="7" t="s">
        <v>114</v>
      </c>
      <c r="C28" s="7" t="s">
        <v>115</v>
      </c>
      <c r="D28" s="6" t="s">
        <v>116</v>
      </c>
      <c r="E28" s="6" t="s">
        <v>117</v>
      </c>
      <c r="F28" s="6" t="s">
        <v>4</v>
      </c>
      <c r="G28" s="7"/>
    </row>
    <row r="29" spans="1:7" ht="14.5" x14ac:dyDescent="0.3">
      <c r="A29" s="4" t="s">
        <v>118</v>
      </c>
      <c r="B29" s="5" t="s">
        <v>119</v>
      </c>
      <c r="C29" s="5" t="s">
        <v>120</v>
      </c>
      <c r="D29" s="4" t="s">
        <v>21</v>
      </c>
      <c r="E29" s="4" t="s">
        <v>121</v>
      </c>
      <c r="F29" s="4" t="s">
        <v>4</v>
      </c>
      <c r="G29" s="5"/>
    </row>
    <row r="30" spans="1:7" s="13" customFormat="1" ht="14.5" x14ac:dyDescent="0.3">
      <c r="A30" s="11" t="s">
        <v>197</v>
      </c>
      <c r="B30" s="12" t="s">
        <v>198</v>
      </c>
      <c r="C30" s="12" t="s">
        <v>198</v>
      </c>
      <c r="D30" s="11" t="s">
        <v>198</v>
      </c>
      <c r="E30" s="11"/>
      <c r="F30" s="11"/>
      <c r="G30" s="12"/>
    </row>
    <row r="31" spans="1:7" ht="14.5" x14ac:dyDescent="0.3">
      <c r="A31" s="6" t="s">
        <v>122</v>
      </c>
      <c r="B31" s="7" t="s">
        <v>123</v>
      </c>
      <c r="C31" s="7" t="s">
        <v>124</v>
      </c>
      <c r="D31" s="6" t="s">
        <v>125</v>
      </c>
      <c r="E31" s="6" t="s">
        <v>126</v>
      </c>
      <c r="F31" s="6" t="s">
        <v>4</v>
      </c>
      <c r="G31" s="7"/>
    </row>
    <row r="32" spans="1:7" ht="14.5" x14ac:dyDescent="0.3">
      <c r="A32" s="4" t="s">
        <v>127</v>
      </c>
      <c r="B32" s="5" t="s">
        <v>128</v>
      </c>
      <c r="C32" s="5" t="s">
        <v>129</v>
      </c>
      <c r="D32" s="4" t="s">
        <v>130</v>
      </c>
      <c r="E32" s="4" t="s">
        <v>131</v>
      </c>
      <c r="F32" s="4" t="s">
        <v>4</v>
      </c>
      <c r="G32" s="5"/>
    </row>
    <row r="33" spans="1:7" ht="14.5" x14ac:dyDescent="0.3">
      <c r="A33" s="6" t="s">
        <v>132</v>
      </c>
      <c r="B33" s="7" t="s">
        <v>133</v>
      </c>
      <c r="C33" s="7" t="s">
        <v>134</v>
      </c>
      <c r="D33" s="6" t="s">
        <v>49</v>
      </c>
      <c r="E33" s="6" t="s">
        <v>135</v>
      </c>
      <c r="F33" s="6" t="s">
        <v>4</v>
      </c>
      <c r="G33" s="7"/>
    </row>
    <row r="34" spans="1:7" ht="14.5" x14ac:dyDescent="0.3">
      <c r="A34" s="4" t="s">
        <v>136</v>
      </c>
      <c r="B34" s="5" t="s">
        <v>137</v>
      </c>
      <c r="C34" s="5" t="s">
        <v>138</v>
      </c>
      <c r="D34" s="4" t="s">
        <v>139</v>
      </c>
      <c r="E34" s="4" t="s">
        <v>140</v>
      </c>
      <c r="F34" s="4" t="s">
        <v>4</v>
      </c>
      <c r="G34" s="5"/>
    </row>
    <row r="35" spans="1:7" ht="14.5" x14ac:dyDescent="0.3">
      <c r="A35" s="6" t="s">
        <v>141</v>
      </c>
      <c r="B35" s="7" t="s">
        <v>142</v>
      </c>
      <c r="C35" s="7" t="s">
        <v>143</v>
      </c>
      <c r="D35" s="6" t="s">
        <v>116</v>
      </c>
      <c r="E35" s="6" t="s">
        <v>144</v>
      </c>
      <c r="F35" s="6" t="s">
        <v>4</v>
      </c>
      <c r="G35" s="7"/>
    </row>
    <row r="36" spans="1:7" ht="14.5" x14ac:dyDescent="0.3">
      <c r="A36" s="4" t="s">
        <v>145</v>
      </c>
      <c r="B36" s="5" t="s">
        <v>146</v>
      </c>
      <c r="C36" s="5" t="s">
        <v>147</v>
      </c>
      <c r="D36" s="4" t="s">
        <v>148</v>
      </c>
      <c r="E36" s="4" t="s">
        <v>149</v>
      </c>
      <c r="F36" s="4" t="s">
        <v>4</v>
      </c>
      <c r="G36" s="5"/>
    </row>
  </sheetData>
  <mergeCells count="2">
    <mergeCell ref="A2:G2"/>
    <mergeCell ref="A1:G1"/>
  </mergeCells>
  <phoneticPr fontId="7" type="noConversion"/>
  <conditionalFormatting sqref="F7:F36">
    <cfRule type="cellIs" dxfId="3" priority="1" operator="equal">
      <formula>"Completed"</formula>
    </cfRule>
    <cfRule type="cellIs" dxfId="2" priority="2" operator="equal">
      <formula>"Pending"</formula>
    </cfRule>
    <cfRule type="cellIs" dxfId="1" priority="3" operator="equal">
      <formula>"Deferred"</formula>
    </cfRule>
    <cfRule type="cellIs" dxfId="0" priority="4" operator="equal">
      <formula>"Action Required"</formula>
    </cfRule>
  </conditionalFormatting>
  <dataValidations count="1">
    <dataValidation type="list" allowBlank="1" sqref="F7:F36" xr:uid="{00000000-0002-0000-0000-000000000000}">
      <formula1>"Completed,Pending,Deferred,Action 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4" x14ac:dyDescent="0.3"/>
  <cols>
    <col min="1" max="1" width="14" customWidth="1"/>
    <col min="2" max="2" width="25" customWidth="1"/>
    <col min="3" max="3" width="55" customWidth="1"/>
    <col min="4" max="4" width="22" customWidth="1"/>
    <col min="5" max="5" width="20" customWidth="1"/>
    <col min="6" max="6" width="25" customWidth="1"/>
  </cols>
  <sheetData>
    <row r="1" spans="1:6" ht="21" x14ac:dyDescent="0.3">
      <c r="A1" s="10" t="s">
        <v>150</v>
      </c>
      <c r="B1" s="9"/>
      <c r="C1" s="9"/>
      <c r="D1" s="9"/>
      <c r="E1" s="9"/>
      <c r="F1" s="9"/>
    </row>
    <row r="3" spans="1:6" ht="25" customHeight="1" x14ac:dyDescent="0.3">
      <c r="A3" s="3" t="s">
        <v>151</v>
      </c>
      <c r="B3" s="3" t="s">
        <v>152</v>
      </c>
      <c r="C3" s="3" t="s">
        <v>153</v>
      </c>
      <c r="D3" s="3" t="s">
        <v>154</v>
      </c>
      <c r="E3" s="3" t="s">
        <v>155</v>
      </c>
      <c r="F3" s="3" t="s">
        <v>156</v>
      </c>
    </row>
    <row r="4" spans="1:6" ht="14.5" x14ac:dyDescent="0.3">
      <c r="A4" s="6" t="s">
        <v>157</v>
      </c>
      <c r="B4" s="7" t="s">
        <v>158</v>
      </c>
      <c r="C4" s="7" t="s">
        <v>159</v>
      </c>
      <c r="D4" s="6" t="s">
        <v>160</v>
      </c>
      <c r="E4" s="6" t="s">
        <v>161</v>
      </c>
      <c r="F4" s="7" t="s">
        <v>162</v>
      </c>
    </row>
    <row r="5" spans="1:6" ht="14.5" x14ac:dyDescent="0.3">
      <c r="A5" s="4" t="s">
        <v>163</v>
      </c>
      <c r="B5" s="5" t="s">
        <v>158</v>
      </c>
      <c r="C5" s="5" t="s">
        <v>164</v>
      </c>
      <c r="D5" s="4" t="s">
        <v>165</v>
      </c>
      <c r="E5" s="4" t="s">
        <v>161</v>
      </c>
      <c r="F5" s="5"/>
    </row>
    <row r="6" spans="1:6" ht="14.5" x14ac:dyDescent="0.3">
      <c r="A6" s="6" t="s">
        <v>166</v>
      </c>
      <c r="B6" s="7" t="s">
        <v>158</v>
      </c>
      <c r="C6" s="7" t="s">
        <v>167</v>
      </c>
      <c r="D6" s="6" t="s">
        <v>168</v>
      </c>
      <c r="E6" s="6" t="s">
        <v>161</v>
      </c>
      <c r="F6" s="7"/>
    </row>
    <row r="7" spans="1:6" ht="14.5" x14ac:dyDescent="0.3">
      <c r="A7" s="4" t="s">
        <v>169</v>
      </c>
      <c r="B7" s="5" t="s">
        <v>170</v>
      </c>
      <c r="C7" s="5" t="s">
        <v>171</v>
      </c>
      <c r="D7" s="4" t="s">
        <v>172</v>
      </c>
      <c r="E7" s="4" t="s">
        <v>161</v>
      </c>
      <c r="F7" s="5"/>
    </row>
    <row r="8" spans="1:6" ht="14.5" x14ac:dyDescent="0.3">
      <c r="A8" s="6" t="s">
        <v>173</v>
      </c>
      <c r="B8" s="7" t="s">
        <v>170</v>
      </c>
      <c r="C8" s="7" t="s">
        <v>174</v>
      </c>
      <c r="D8" s="6" t="s">
        <v>165</v>
      </c>
      <c r="E8" s="6" t="s">
        <v>161</v>
      </c>
      <c r="F8" s="7"/>
    </row>
    <row r="9" spans="1:6" ht="14.5" x14ac:dyDescent="0.3">
      <c r="A9" s="4" t="s">
        <v>175</v>
      </c>
      <c r="B9" s="5" t="s">
        <v>170</v>
      </c>
      <c r="C9" s="5" t="s">
        <v>176</v>
      </c>
      <c r="D9" s="4" t="s">
        <v>165</v>
      </c>
      <c r="E9" s="4" t="s">
        <v>161</v>
      </c>
      <c r="F9" s="5"/>
    </row>
    <row r="10" spans="1:6" ht="14.5" x14ac:dyDescent="0.3">
      <c r="A10" s="6" t="s">
        <v>177</v>
      </c>
      <c r="B10" s="7" t="s">
        <v>178</v>
      </c>
      <c r="C10" s="7" t="s">
        <v>179</v>
      </c>
      <c r="D10" s="6" t="s">
        <v>165</v>
      </c>
      <c r="E10" s="6" t="s">
        <v>161</v>
      </c>
      <c r="F10" s="7"/>
    </row>
    <row r="11" spans="1:6" ht="14.5" x14ac:dyDescent="0.3">
      <c r="A11" s="4" t="s">
        <v>180</v>
      </c>
      <c r="B11" s="5" t="s">
        <v>178</v>
      </c>
      <c r="C11" s="5" t="s">
        <v>181</v>
      </c>
      <c r="D11" s="4" t="s">
        <v>165</v>
      </c>
      <c r="E11" s="4" t="s">
        <v>161</v>
      </c>
      <c r="F11" s="5"/>
    </row>
    <row r="12" spans="1:6" ht="14.5" x14ac:dyDescent="0.3">
      <c r="A12" s="6" t="s">
        <v>182</v>
      </c>
      <c r="B12" s="7" t="s">
        <v>178</v>
      </c>
      <c r="C12" s="7" t="s">
        <v>183</v>
      </c>
      <c r="D12" s="6" t="s">
        <v>184</v>
      </c>
      <c r="E12" s="6" t="s">
        <v>161</v>
      </c>
      <c r="F12" s="7"/>
    </row>
    <row r="13" spans="1:6" ht="14.5" x14ac:dyDescent="0.3">
      <c r="A13" s="4" t="s">
        <v>185</v>
      </c>
      <c r="B13" s="5" t="s">
        <v>186</v>
      </c>
      <c r="C13" s="5" t="s">
        <v>187</v>
      </c>
      <c r="D13" s="4" t="s">
        <v>188</v>
      </c>
      <c r="E13" s="4" t="s">
        <v>161</v>
      </c>
      <c r="F13" s="5"/>
    </row>
    <row r="14" spans="1:6" ht="14.5" x14ac:dyDescent="0.3">
      <c r="A14" s="6" t="s">
        <v>189</v>
      </c>
      <c r="B14" s="7" t="s">
        <v>186</v>
      </c>
      <c r="C14" s="7" t="s">
        <v>190</v>
      </c>
      <c r="D14" s="6" t="s">
        <v>165</v>
      </c>
      <c r="E14" s="6" t="s">
        <v>161</v>
      </c>
      <c r="F14" s="7"/>
    </row>
    <row r="15" spans="1:6" ht="14.5" x14ac:dyDescent="0.3">
      <c r="A15" s="4" t="s">
        <v>191</v>
      </c>
      <c r="B15" s="5" t="s">
        <v>192</v>
      </c>
      <c r="C15" s="5" t="s">
        <v>193</v>
      </c>
      <c r="D15" s="4" t="s">
        <v>165</v>
      </c>
      <c r="E15" s="4" t="s">
        <v>161</v>
      </c>
      <c r="F15" s="5"/>
    </row>
    <row r="16" spans="1:6" ht="14.5" x14ac:dyDescent="0.3">
      <c r="A16" s="6" t="s">
        <v>194</v>
      </c>
      <c r="B16" s="7" t="s">
        <v>192</v>
      </c>
      <c r="C16" s="7" t="s">
        <v>195</v>
      </c>
      <c r="D16" s="6" t="s">
        <v>196</v>
      </c>
      <c r="E16" s="6" t="s">
        <v>161</v>
      </c>
      <c r="F16" s="7"/>
    </row>
  </sheetData>
  <mergeCells count="1">
    <mergeCell ref="A1:F1"/>
  </mergeCells>
  <dataValidations count="1">
    <dataValidation type="list" allowBlank="1" sqref="E4:E16" xr:uid="{00000000-0002-0000-0100-000000000000}">
      <formula1>"Compliant,Non-Compliant,N/A"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Schedule</vt:lpstr>
      <vt:lpstr>Detailed Checklists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Aljassem</cp:lastModifiedBy>
  <dcterms:created xsi:type="dcterms:W3CDTF">2026-09-05T06:35:15Z</dcterms:created>
  <dcterms:modified xsi:type="dcterms:W3CDTF">2026-09-05T06:47:29Z</dcterms:modified>
</cp:coreProperties>
</file>