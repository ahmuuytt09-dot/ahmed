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Dashboard" sheetId="2" state="visible" r:id="rId2"/>
    <sheet name="Lookups" sheetId="3" state="visible" r:id="rId3"/>
    <sheet name="Admin" sheetId="4" state="visible" r:id="rId4"/>
    <sheet name="ManHours" sheetId="5" state="visible" r:id="rId5"/>
    <sheet name="Incidents" sheetId="6" state="visible" r:id="rId6"/>
    <sheet name="Observations" sheetId="7" state="visible" r:id="rId7"/>
    <sheet name="NCR" sheetId="8" state="visible" r:id="rId8"/>
    <sheet name="Scorecard" sheetId="9" state="visible" r:id="rId9"/>
    <sheet name="CAPA_AI" sheetId="10" state="visible" r:id="rId10"/>
    <sheet name="Training" sheetId="11" state="visible" r:id="rId11"/>
    <sheet name="Equipment" sheetId="12" state="visible" r:id="rId12"/>
    <sheet name="Documents" sheetId="13" state="visible" r:id="rId13"/>
  </sheets>
  <definedNames>
    <definedName name="TotalManHours">ManHours!$I$5</definedName>
    <definedName name="LTIFR">Dashboard!$E$7</definedName>
    <definedName name="TRIFR">Dashboard!$G$7</definedName>
    <definedName name="AdminPassword">Cover!$C$14</definedName>
    <definedName name="_xlnm.Print_Titles" localSheetId="0">'Cover'!$1:$4</definedName>
    <definedName name="_xlnm.Print_Titles" localSheetId="1">'Dashboard'!$1:$4</definedName>
    <definedName name="_xlnm.Print_Titles" localSheetId="2">'Lookups'!$1:$4</definedName>
    <definedName name="_xlnm.Print_Titles" localSheetId="3">'Admin'!$1:$4</definedName>
    <definedName name="_xlnm.Print_Titles" localSheetId="4">'ManHours'!$1:$4</definedName>
    <definedName name="_xlnm.Print_Titles" localSheetId="5">'Incidents'!$1:$4</definedName>
    <definedName name="_xlnm.Print_Titles" localSheetId="6">'Observations'!$1:$4</definedName>
    <definedName name="_xlnm.Print_Titles" localSheetId="7">'NCR'!$1:$4</definedName>
    <definedName name="_xlnm.Print_Titles" localSheetId="8">'Scorecard'!$1:$4</definedName>
    <definedName name="_xlnm.Print_Titles" localSheetId="9">'CAPA_AI'!$1:$4</definedName>
    <definedName name="_xlnm.Print_Titles" localSheetId="10">'Training'!$1:$4</definedName>
    <definedName name="_xlnm.Print_Titles" localSheetId="11">'Equipment'!$1:$4</definedName>
    <definedName name="_xlnm.Print_Titles" localSheetId="12">'Documents'!$1:$4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5DBDB"/>
      <sz val="11"/>
    </font>
    <font>
      <name val="Calibri"/>
      <b val="1"/>
      <color rgb="00FFFFFF"/>
      <sz val="12"/>
    </font>
    <font>
      <name val="Calibri"/>
      <b val="1"/>
      <color rgb="000B2545"/>
      <sz val="10"/>
    </font>
    <font>
      <name val="Calibri"/>
      <color rgb="001C2833"/>
      <sz val="10"/>
    </font>
    <font>
      <name val="Calibri"/>
      <b val="1"/>
      <color rgb="00C0392B"/>
      <sz val="11"/>
    </font>
    <font>
      <name val="Calibri"/>
      <b val="1"/>
      <color rgb="00FFFFFF"/>
      <sz val="11"/>
    </font>
    <font>
      <name val="Calibri"/>
      <b val="1"/>
      <color rgb="000D7377"/>
      <sz val="10"/>
    </font>
    <font>
      <name val="Calibri"/>
      <i val="1"/>
      <sz val="10"/>
    </font>
    <font>
      <name val="Calibri"/>
      <color rgb="005D6D7E"/>
      <sz val="9"/>
    </font>
    <font>
      <name val="Calibri"/>
      <b val="1"/>
      <color rgb="00FFFFFF"/>
      <sz val="10"/>
    </font>
    <font>
      <name val="Calibri"/>
      <b val="1"/>
      <color rgb="00FFFFFF"/>
      <sz val="18"/>
    </font>
    <font>
      <name val="Calibri"/>
      <b val="1"/>
      <color rgb="00FFFFFF"/>
      <sz val="16"/>
    </font>
    <font>
      <name val="Calibri"/>
      <b val="1"/>
      <color rgb="000B2545"/>
      <sz val="14"/>
    </font>
    <font>
      <name val="Calibri"/>
      <color rgb="001A5276"/>
      <sz val="10"/>
      <u val="single"/>
    </font>
    <font>
      <name val="Calibri"/>
      <b val="1"/>
      <color rgb="00FFFFFF"/>
      <sz val="22"/>
    </font>
    <font>
      <name val="Calibri"/>
      <b val="1"/>
      <color rgb="00FFFFFF"/>
      <sz val="14"/>
    </font>
    <font>
      <name val="Calibri"/>
      <b val="1"/>
      <color rgb="000B2545"/>
      <sz val="18"/>
    </font>
  </fonts>
  <fills count="15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0D7377"/>
      </patternFill>
    </fill>
    <fill>
      <patternFill patternType="solid">
        <fgColor rgb="00C9A227"/>
      </patternFill>
    </fill>
    <fill>
      <patternFill patternType="solid">
        <fgColor rgb="00E8EEF2"/>
      </patternFill>
    </fill>
    <fill>
      <patternFill patternType="solid">
        <fgColor rgb="00EBF5FB"/>
      </patternFill>
    </fill>
    <fill>
      <patternFill patternType="solid">
        <fgColor rgb="00FFFDE7"/>
      </patternFill>
    </fill>
    <fill>
      <patternFill patternType="solid">
        <fgColor rgb="00FADBD8"/>
      </patternFill>
    </fill>
    <fill>
      <patternFill patternType="solid">
        <fgColor rgb="00F4F7F8"/>
      </patternFill>
    </fill>
    <fill>
      <patternFill patternType="solid">
        <fgColor rgb="00FCF3CF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54360"/>
      </patternFill>
    </fill>
    <fill>
      <patternFill patternType="solid">
        <fgColor rgb="00D35400"/>
      </patternFill>
    </fill>
  </fills>
  <borders count="7">
    <border>
      <left/>
      <right/>
      <top/>
      <bottom/>
      <diagonal/>
    </border>
    <border>
      <left style="thin">
        <color rgb="00BFCFD9"/>
      </left>
      <right style="thin">
        <color rgb="00BFCFD9"/>
      </right>
      <top style="thin">
        <color rgb="00BFCFD9"/>
      </top>
      <bottom style="thin">
        <color rgb="00BFCFD9"/>
      </bottom>
    </border>
    <border>
      <left/>
      <right/>
      <top style="thin">
        <color rgb="00BFCFD9"/>
      </top>
      <bottom/>
      <diagonal/>
    </border>
    <border>
      <left/>
      <right style="thin">
        <color rgb="00BFCFD9"/>
      </right>
      <top style="thin">
        <color rgb="00BFCFD9"/>
      </top>
      <bottom/>
      <diagonal/>
    </border>
    <border>
      <left/>
      <right/>
      <top style="thin">
        <color rgb="00BFCFD9"/>
      </top>
      <bottom style="thin">
        <color rgb="00BFCFD9"/>
      </bottom>
      <diagonal/>
    </border>
    <border>
      <left/>
      <right style="thin">
        <color rgb="00BFCFD9"/>
      </right>
      <top style="thin">
        <color rgb="00BFCFD9"/>
      </top>
      <bottom style="thin">
        <color rgb="00BFCFD9"/>
      </bottom>
      <diagonal/>
    </border>
    <border>
      <left style="medium">
        <color rgb="00C9A227"/>
      </left>
      <right style="medium">
        <color rgb="00C9A227"/>
      </right>
      <top style="medium">
        <color rgb="00C9A227"/>
      </top>
      <bottom style="medium">
        <color rgb="00C9A227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 wrapText="1"/>
    </xf>
    <xf numFmtId="0" fontId="4" fillId="5" borderId="1" pivotButton="0" quotePrefix="0" xfId="0"/>
    <xf numFmtId="0" fontId="4" fillId="6" borderId="1" pivotButton="0" quotePrefix="0" xfId="0"/>
    <xf numFmtId="165" fontId="4" fillId="6" borderId="1" pivotButton="0" quotePrefix="0" xfId="0"/>
    <xf numFmtId="0" fontId="5" fillId="7" borderId="1" applyProtection="1" pivotButton="0" quotePrefix="0" xfId="0">
      <protection locked="0" hidden="0"/>
    </xf>
    <xf numFmtId="0" fontId="3" fillId="2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9" borderId="1" pivotButton="0" quotePrefix="0" xfId="0"/>
    <xf numFmtId="0" fontId="5" fillId="9" borderId="1" pivotButton="0" quotePrefix="0" xfId="0"/>
    <xf numFmtId="0" fontId="8" fillId="0" borderId="1" pivotButton="0" quotePrefix="0" xfId="0"/>
    <xf numFmtId="0" fontId="5" fillId="0" borderId="1" pivotButton="0" quotePrefix="0" xfId="0"/>
    <xf numFmtId="0" fontId="3" fillId="3" borderId="0" applyAlignment="1" pivotButton="0" quotePrefix="0" xfId="0">
      <alignment horizontal="center" vertical="center" wrapText="1"/>
    </xf>
    <xf numFmtId="0" fontId="5" fillId="9" borderId="0" pivotButton="0" quotePrefix="0" xfId="0"/>
    <xf numFmtId="0" fontId="9" fillId="10" borderId="0" applyAlignment="1" pivotButton="0" quotePrefix="0" xfId="0">
      <alignment vertical="center" wrapText="1"/>
    </xf>
    <xf numFmtId="4" fontId="4" fillId="6" borderId="1" pivotButton="0" quotePrefix="0" xfId="0"/>
    <xf numFmtId="0" fontId="11" fillId="11" borderId="0" applyAlignment="1" pivotButton="0" quotePrefix="0" xfId="0">
      <alignment horizontal="center" vertical="center" wrapText="1"/>
    </xf>
    <xf numFmtId="3" fontId="16" fillId="3" borderId="0" applyAlignment="1" pivotButton="0" quotePrefix="0" xfId="0">
      <alignment horizontal="center" vertical="center" wrapText="1"/>
    </xf>
    <xf numFmtId="2" fontId="16" fillId="2" borderId="0" applyAlignment="1" pivotButton="0" quotePrefix="0" xfId="0">
      <alignment horizontal="center" vertical="center" wrapText="1"/>
    </xf>
    <xf numFmtId="166" fontId="16" fillId="4" borderId="0" applyAlignment="1" pivotButton="0" quotePrefix="0" xfId="0">
      <alignment horizontal="center" vertical="center" wrapText="1"/>
    </xf>
    <xf numFmtId="0" fontId="17" fillId="12" borderId="0" applyAlignment="1" pivotButton="0" quotePrefix="0" xfId="0">
      <alignment horizontal="center" vertical="center" wrapText="1"/>
    </xf>
    <xf numFmtId="2" fontId="4" fillId="6" borderId="1" pivotButton="0" quotePrefix="0" xfId="0"/>
    <xf numFmtId="0" fontId="7" fillId="3" borderId="0" applyAlignment="1" pivotButton="0" quotePrefix="0" xfId="0">
      <alignment horizontal="center" vertical="center" wrapText="1"/>
    </xf>
    <xf numFmtId="0" fontId="11" fillId="13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2" borderId="0" pivotButton="0" quotePrefix="0" xfId="0"/>
    <xf numFmtId="0" fontId="11" fillId="14" borderId="0" pivotButton="0" quotePrefix="0" xfId="0"/>
    <xf numFmtId="4" fontId="4" fillId="4" borderId="1" pivotButton="0" quotePrefix="0" xfId="0"/>
    <xf numFmtId="0" fontId="10" fillId="0" borderId="0" applyAlignment="1" pivotButton="0" quotePrefix="0" xfId="0">
      <alignment wrapText="1"/>
    </xf>
    <xf numFmtId="0" fontId="10" fillId="0" borderId="1" pivotButton="0" quotePrefix="0" xfId="0"/>
    <xf numFmtId="1" fontId="5" fillId="7" borderId="1" applyProtection="1" pivotButton="0" quotePrefix="0" xfId="0">
      <protection locked="0" hidden="0"/>
    </xf>
    <xf numFmtId="2" fontId="5" fillId="7" borderId="1" applyProtection="1" pivotButton="0" quotePrefix="0" xfId="0">
      <protection locked="0" hidden="0"/>
    </xf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11" fillId="2" borderId="0" applyAlignment="1" pivotButton="0" quotePrefix="0" xfId="0">
      <alignment horizontal="center" vertical="center" wrapText="1"/>
    </xf>
    <xf numFmtId="0" fontId="11" fillId="3" borderId="0" pivotButton="0" quotePrefix="0" xfId="0"/>
    <xf numFmtId="4" fontId="12" fillId="4" borderId="0" applyAlignment="1" pivotButton="0" quotePrefix="0" xfId="0">
      <alignment horizontal="center" vertical="center" wrapText="1"/>
    </xf>
    <xf numFmtId="4" fontId="13" fillId="4" borderId="0" applyAlignment="1" pivotButton="0" quotePrefix="0" xfId="0">
      <alignment horizontal="center" vertical="center" wrapText="1"/>
    </xf>
    <xf numFmtId="165" fontId="5" fillId="7" borderId="1" applyProtection="1" pivotButton="0" quotePrefix="0" xfId="0">
      <protection locked="0" hidden="0"/>
    </xf>
    <xf numFmtId="166" fontId="5" fillId="7" borderId="1" applyProtection="1" pivotButton="0" quotePrefix="0" xfId="0">
      <protection locked="0" hidden="0"/>
    </xf>
    <xf numFmtId="0" fontId="10" fillId="0" borderId="0" pivotButton="0" quotePrefix="0" xfId="0"/>
    <xf numFmtId="0" fontId="11" fillId="2" borderId="0" pivotButton="0" quotePrefix="0" xfId="0"/>
    <xf numFmtId="0" fontId="4" fillId="5" borderId="0" pivotButton="0" quotePrefix="0" xfId="0"/>
    <xf numFmtId="0" fontId="4" fillId="0" borderId="0" pivotButton="0" quotePrefix="0" xfId="0"/>
    <xf numFmtId="166" fontId="14" fillId="6" borderId="1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5" fillId="7" borderId="1" applyProtection="1" pivotButton="0" quotePrefix="0" xfId="0">
      <protection locked="0" hidden="0"/>
    </xf>
  </cellXfs>
  <cellStyles count="1">
    <cellStyle name="Normal" xfId="0" builtinId="0" hidden="0"/>
  </cellStyles>
  <dxfs count="8">
    <dxf>
      <fill>
        <patternFill patternType="solid">
          <fgColor rgb="00FADBD8"/>
        </patternFill>
      </fill>
    </dxf>
    <dxf>
      <fill>
        <patternFill patternType="solid">
          <fgColor rgb="00D5F5E3"/>
        </patternFill>
      </fill>
    </dxf>
    <dxf>
      <font>
        <b val="1"/>
        <color rgb="00922B21"/>
      </font>
      <fill>
        <patternFill patternType="solid">
          <fgColor rgb="00FADBD8"/>
        </patternFill>
      </fill>
    </dxf>
    <dxf>
      <fill>
        <patternFill patternType="solid">
          <fgColor rgb="00FCF3CF"/>
        </patternFill>
      </fill>
    </dxf>
    <dxf>
      <fill>
        <patternFill patternType="solid">
          <fgColor rgb="00D6EAF8"/>
        </patternFill>
      </fill>
    </dxf>
    <dxf>
      <font>
        <b val="1"/>
        <color rgb="00FFFFFF"/>
      </font>
      <fill>
        <patternFill patternType="solid">
          <fgColor rgb="00C0392B"/>
        </patternFill>
      </fill>
    </dxf>
    <dxf>
      <font>
        <b val="1"/>
        <color rgb="00FFFFFF"/>
      </font>
      <fill>
        <patternFill patternType="solid">
          <fgColor rgb="00D35400"/>
        </patternFill>
      </fill>
    </dxf>
    <dxf>
      <font>
        <b val="1"/>
        <color rgb="007B241C"/>
      </font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Observations by focus area</a:t>
            </a:r>
          </a:p>
        </rich>
      </tx>
    </title>
    <plotArea>
      <pieChart>
        <varyColors val="1"/>
        <ser>
          <idx val="0"/>
          <order val="0"/>
          <tx>
            <strRef>
              <f>'01_Dashboard'!C21</f>
            </strRef>
          </tx>
          <spPr>
            <a:ln>
              <a:prstDash val="solid"/>
            </a:ln>
          </spPr>
          <cat>
            <numRef>
              <f>'01_Dashboard'!$B$22:$B$28</f>
            </numRef>
          </cat>
          <val>
            <numRef>
              <f>'01_Dashboard'!$C$22:$C$28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Subcontractor EHS Score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'06_Scorecard'!L4</f>
            </strRef>
          </tx>
          <spPr>
            <a:ln>
              <a:prstDash val="solid"/>
            </a:ln>
          </spPr>
          <cat>
            <numRef>
              <f>'06_Scorecard'!$B$5:$B$12</f>
            </numRef>
          </cat>
          <val>
            <numRef>
              <f>'06_Scorecard'!$L$5:$L$12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19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8" customWidth="1" min="8" max="8"/>
    <col width="18" customWidth="1" min="9" max="9"/>
    <col width="14" customWidth="1" min="10" max="10"/>
  </cols>
  <sheetData>
    <row r="1" ht="32" customHeight="1">
      <c r="A1" s="1" t="inlineStr">
        <is>
          <t>KAZ PP EXPANSION PROJECT  |  EHS MANAGEMENT SYSTEM</t>
        </is>
      </c>
    </row>
    <row r="2" ht="20" customHeight="1">
      <c r="A2" s="2" t="inlineStr">
        <is>
          <t>Integrated Occupational Health, Safety &amp; Environment Control Workbook  |  OSHA KPIs  |  Confidential</t>
        </is>
      </c>
    </row>
    <row r="4">
      <c r="B4" s="3" t="inlineStr">
        <is>
          <t>SYSTEM IDENTITY</t>
        </is>
      </c>
      <c r="H4" s="3" t="inlineStr">
        <is>
          <t>QUICK STATUS</t>
        </is>
      </c>
    </row>
    <row r="5">
      <c r="B5" s="4" t="inlineStr">
        <is>
          <t>Project Name</t>
        </is>
      </c>
      <c r="C5" s="5" t="inlineStr">
        <is>
          <t>KAZ PP Expansion Project</t>
        </is>
      </c>
      <c r="H5" t="inlineStr">
        <is>
          <t>Today</t>
        </is>
      </c>
      <c r="I5" s="6">
        <f>TODAY()</f>
        <v/>
      </c>
    </row>
    <row r="6">
      <c r="B6" s="4" t="inlineStr">
        <is>
          <t>Client / Owner</t>
        </is>
      </c>
      <c r="C6" s="7" t="inlineStr">
        <is>
          <t>As per Contract</t>
        </is>
      </c>
      <c r="H6" t="inlineStr">
        <is>
          <t>File Rev</t>
        </is>
      </c>
      <c r="I6" s="7" t="inlineStr">
        <is>
          <t>00</t>
        </is>
      </c>
    </row>
    <row r="7">
      <c r="B7" s="4" t="inlineStr">
        <is>
          <t>Main Contractor</t>
        </is>
      </c>
      <c r="C7" s="7" t="inlineStr">
        <is>
          <t>Team Seisms / Team Al-Mayal Consortium</t>
        </is>
      </c>
      <c r="H7" t="inlineStr">
        <is>
          <t>Macro Pack</t>
        </is>
      </c>
      <c r="I7" t="inlineStr">
        <is>
          <t>Import VBA_EHS_Module.bas</t>
        </is>
      </c>
    </row>
    <row r="8">
      <c r="B8" s="4" t="inlineStr">
        <is>
          <t>Document Title</t>
        </is>
      </c>
      <c r="C8" s="5" t="inlineStr">
        <is>
          <t>Integrated EHS Management &amp; Evaluation System</t>
        </is>
      </c>
      <c r="H8" t="inlineStr">
        <is>
          <t>Language</t>
        </is>
      </c>
      <c r="I8" t="inlineStr">
        <is>
          <t>EN / AR bilingual labels</t>
        </is>
      </c>
    </row>
    <row r="9">
      <c r="B9" s="4" t="inlineStr">
        <is>
          <t>Document No.</t>
        </is>
      </c>
      <c r="C9" s="5" t="inlineStr">
        <is>
          <t>KAZ-EHS-SYS-001 Rev.00</t>
        </is>
      </c>
    </row>
    <row r="10">
      <c r="B10" s="4" t="inlineStr">
        <is>
          <t>Classification</t>
        </is>
      </c>
      <c r="C10" s="5" t="inlineStr">
        <is>
          <t>CONFIDENTIAL — Controlled Document</t>
        </is>
      </c>
    </row>
    <row r="11">
      <c r="B11" s="4" t="inlineStr">
        <is>
          <t>Prepared by</t>
        </is>
      </c>
      <c r="C11" s="7" t="inlineStr">
        <is>
          <t>EHS Department — Project Control</t>
        </is>
      </c>
    </row>
    <row r="12">
      <c r="B12" s="4" t="inlineStr">
        <is>
          <t>Admin Owner</t>
        </is>
      </c>
      <c r="C12" s="7" t="inlineStr">
        <is>
          <t>EHS Manager (Full Control)</t>
        </is>
      </c>
    </row>
    <row r="13">
      <c r="B13" s="4" t="inlineStr">
        <is>
          <t>Effective Date</t>
        </is>
      </c>
      <c r="C13" s="6" t="n">
        <v>46023</v>
      </c>
    </row>
    <row r="14">
      <c r="B14" s="4" t="inlineStr">
        <is>
          <t>Workbook Password (Admin)</t>
        </is>
      </c>
      <c r="C14" s="7" t="inlineStr">
        <is>
          <t>KAZ-EHS-ADMIN-2026</t>
        </is>
      </c>
    </row>
    <row r="16">
      <c r="B16" s="8" t="inlineStr">
        <is>
          <t>WORKSHEET MAP  |  هيكل الشيتات</t>
        </is>
      </c>
    </row>
    <row r="17">
      <c r="B17" s="9" t="inlineStr">
        <is>
          <t>Sheet</t>
        </is>
      </c>
      <c r="C17" s="9" t="inlineStr">
        <is>
          <t>Purpose / الغرض</t>
        </is>
      </c>
      <c r="D17" s="10" t="n"/>
      <c r="E17" s="10" t="n"/>
      <c r="F17" s="11" t="n"/>
    </row>
    <row r="18">
      <c r="B18" s="12" t="inlineStr">
        <is>
          <t>00_Cover</t>
        </is>
      </c>
      <c r="C18" s="13" t="inlineStr">
        <is>
          <t>الغلاف والتعريف والصلاحيات</t>
        </is>
      </c>
    </row>
    <row r="19">
      <c r="B19" s="14" t="inlineStr">
        <is>
          <t>01_Dashboard</t>
        </is>
      </c>
      <c r="C19" s="15" t="inlineStr">
        <is>
          <t>لوحة التحكم ومؤشرات OSHA / KPIs</t>
        </is>
      </c>
    </row>
    <row r="20">
      <c r="B20" s="12" t="inlineStr">
        <is>
          <t>02_ManHours</t>
        </is>
      </c>
      <c r="C20" s="13" t="inlineStr">
        <is>
          <t>حاسبة ساعات العمل اليومية (Seisms / Al-Mayal)</t>
        </is>
      </c>
    </row>
    <row r="21">
      <c r="B21" s="14" t="inlineStr">
        <is>
          <t>03_Incidents</t>
        </is>
      </c>
      <c r="C21" s="15" t="inlineStr">
        <is>
          <t>سجل الحوادث والإصابات و Near Miss</t>
        </is>
      </c>
    </row>
    <row r="22">
      <c r="B22" s="12" t="inlineStr">
        <is>
          <t>04_Observations</t>
        </is>
      </c>
      <c r="C22" s="13" t="inlineStr">
        <is>
          <t>تتبع الملاحظات + Aging + PTW</t>
        </is>
      </c>
    </row>
    <row r="23">
      <c r="B23" s="14" t="inlineStr">
        <is>
          <t>05_NCR</t>
        </is>
      </c>
      <c r="C23" s="15" t="inlineStr">
        <is>
          <t>إخطارات عدم المطابقة NCR</t>
        </is>
      </c>
    </row>
    <row r="24">
      <c r="B24" s="12" t="inlineStr">
        <is>
          <t>06_Scorecard</t>
        </is>
      </c>
      <c r="C24" s="13" t="inlineStr">
        <is>
          <t>تقييم أداء المقاولين الثانويين</t>
        </is>
      </c>
    </row>
    <row r="25">
      <c r="B25" s="14" t="inlineStr">
        <is>
          <t>07_CAPA_AI</t>
        </is>
      </c>
      <c r="C25" s="15" t="inlineStr">
        <is>
          <t>محور تحويل الملاحظات والإجراءات التصحيحية</t>
        </is>
      </c>
    </row>
    <row r="26">
      <c r="B26" s="12" t="inlineStr">
        <is>
          <t>08_Training</t>
        </is>
      </c>
      <c r="C26" s="13" t="inlineStr">
        <is>
          <t>مصفوفة شهادات العمالة الماهرة</t>
        </is>
      </c>
    </row>
    <row r="27">
      <c r="B27" s="14" t="inlineStr">
        <is>
          <t>09_Equipment</t>
        </is>
      </c>
      <c r="C27" s="15" t="inlineStr">
        <is>
          <t>تفتيش المعدات الثقيلة وشهادات الطرف الثالث</t>
        </is>
      </c>
    </row>
    <row r="28">
      <c r="B28" s="12" t="inlineStr">
        <is>
          <t>10_Documents</t>
        </is>
      </c>
      <c r="C28" s="13" t="inlineStr">
        <is>
          <t>مستودع الوثائق والسير الذاتية والخطط</t>
        </is>
      </c>
    </row>
    <row r="29">
      <c r="B29" s="14" t="inlineStr">
        <is>
          <t>11_Lookups</t>
        </is>
      </c>
      <c r="C29" s="15" t="inlineStr">
        <is>
          <t>قوائم التصنيف والمعايير (لا تعدّل المعادلات)</t>
        </is>
      </c>
    </row>
    <row r="30">
      <c r="B30" s="12" t="inlineStr">
        <is>
          <t>12_Admin</t>
        </is>
      </c>
      <c r="C30" s="13" t="inlineStr">
        <is>
          <t>إعدادات النظام، الأهداف، البريد، الحماية</t>
        </is>
      </c>
    </row>
    <row r="32">
      <c r="B32" s="16" t="inlineStr">
        <is>
          <t>OSHA FORMULAS USED IN THIS SYSTEM</t>
        </is>
      </c>
    </row>
    <row r="33">
      <c r="B33" s="17" t="inlineStr">
        <is>
          <t>LTIFR (Lost Time Injury Frequency Rate) = (Number of LTIs × 1,000,000) / Total Man-Hours</t>
        </is>
      </c>
    </row>
    <row r="34">
      <c r="B34" s="17" t="inlineStr">
        <is>
          <t>TRIFR (Total Recordable Injury Frequency Rate) = (Recordable Cases × 1,000,000) / Total Man-Hours</t>
        </is>
      </c>
    </row>
    <row r="35">
      <c r="B35" s="17" t="inlineStr">
        <is>
          <t>Severity Rate (optional) = (Lost Workdays × 1,000,000) / Total Man-Hours</t>
        </is>
      </c>
    </row>
    <row r="36">
      <c r="B36" s="17" t="inlineStr">
        <is>
          <t>Man-Hours without LTI = Cumulative man-hours since last LTI date (auto from 02_ManHours &amp; 03_Incidents)</t>
        </is>
      </c>
    </row>
    <row r="38">
      <c r="B38" s="18" t="inlineStr">
        <is>
          <t>SECURITY: Protect workbook &amp; sheets with the Admin password shown above. Yellow cells = INPUT (unlocked). Blue cells = CALCULATED (locked). Import VBA_EHS_Module.bas via Alt+F11 → File → Import. Enable macros. Outlook must be installed for email alerts. Default password: KAZ-EHS-ADMIN-2026  — change it immediately after first open.</t>
        </is>
      </c>
    </row>
    <row r="39"/>
    <row r="40"/>
  </sheetData>
  <mergeCells count="35">
    <mergeCell ref="B4:F4"/>
    <mergeCell ref="C17:F17"/>
    <mergeCell ref="C23:F23"/>
    <mergeCell ref="C8:F8"/>
    <mergeCell ref="B16:F16"/>
    <mergeCell ref="C7:F7"/>
    <mergeCell ref="C19:F19"/>
    <mergeCell ref="C28:F28"/>
    <mergeCell ref="C13:F13"/>
    <mergeCell ref="C18:F18"/>
    <mergeCell ref="C6:F6"/>
    <mergeCell ref="C30:F30"/>
    <mergeCell ref="C24:F24"/>
    <mergeCell ref="C5:F5"/>
    <mergeCell ref="C14:F14"/>
    <mergeCell ref="A1:J1"/>
    <mergeCell ref="B32:F32"/>
    <mergeCell ref="B34:F34"/>
    <mergeCell ref="C20:F20"/>
    <mergeCell ref="C26:F26"/>
    <mergeCell ref="B38:F40"/>
    <mergeCell ref="C29:F29"/>
    <mergeCell ref="C25:F25"/>
    <mergeCell ref="C10:F10"/>
    <mergeCell ref="C22:F22"/>
    <mergeCell ref="C9:F9"/>
    <mergeCell ref="B33:F33"/>
    <mergeCell ref="C12:F12"/>
    <mergeCell ref="H4:J4"/>
    <mergeCell ref="C21:F21"/>
    <mergeCell ref="C11:F11"/>
    <mergeCell ref="A2:J2"/>
    <mergeCell ref="C27:F27"/>
    <mergeCell ref="B36:F36"/>
    <mergeCell ref="B35:F35"/>
  </mergeCells>
  <pageMargins left="0.75" right="0.75" top="1" bottom="1" header="0.5" footer="0.5"/>
  <pageSetup orientation="landscape" paperSize="9" fitToHeight="0" fitToWidth="1"/>
  <headerFooter>
    <oddHeader>&amp;LKAZ PP Expansion | EHS</oddHeader>
    <oddFooter>&amp;RConfidential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D7377"/>
    <outlinePr summaryBelow="1" summaryRight="1"/>
    <pageSetUpPr fitToPage="1"/>
  </sheetPr>
  <dimension ref="A1:N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4" customWidth="1" min="14" max="14"/>
  </cols>
  <sheetData>
    <row r="1" ht="32" customHeight="1">
      <c r="A1" s="1" t="inlineStr">
        <is>
          <t>01  |  EHS DASHBOARD &amp; KPIs  —  KAZ PP EXPANSION PROJECT</t>
        </is>
      </c>
    </row>
    <row r="2" ht="20" customHeight="1">
      <c r="A2" s="2" t="inlineStr">
        <is>
          <t>Live OSHA rates, man-hours without LTI, case counters, observation aging, contractor scores. Calculated cells are locked.</t>
        </is>
      </c>
    </row>
    <row r="4">
      <c r="B4" t="inlineStr">
        <is>
          <t>Report date</t>
        </is>
      </c>
      <c r="C4" s="6">
        <f>TODAY()</f>
        <v/>
      </c>
      <c r="D4" t="inlineStr">
        <is>
          <t>Total Man-Hours</t>
        </is>
      </c>
      <c r="E4" s="19">
        <f>ManHours!I5</f>
        <v/>
      </c>
      <c r="F4" t="inlineStr">
        <is>
          <t>Last LTI</t>
        </is>
      </c>
      <c r="G4" s="6">
        <f>IF(Admin!C31&lt;&gt;"",Admin!C31,IF(Incidents!W13="None","None",Incidents!W13))</f>
        <v/>
      </c>
    </row>
    <row r="6">
      <c r="B6" s="20" t="inlineStr">
        <is>
          <t>MAN-HOURS w/o LTI</t>
        </is>
      </c>
      <c r="E6" s="20" t="inlineStr">
        <is>
          <t>LTIFR</t>
        </is>
      </c>
      <c r="G6" s="20" t="inlineStr">
        <is>
          <t>TRIFR</t>
        </is>
      </c>
      <c r="I6" s="20" t="inlineStr">
        <is>
          <t>EHS PERFORMANCE SCORE</t>
        </is>
      </c>
      <c r="L6" s="20" t="inlineStr">
        <is>
          <t>PERFORMANCE BAND</t>
        </is>
      </c>
    </row>
    <row r="7">
      <c r="B7" s="21">
        <f>IF(OR(G4="None",G4=""),E4,SUMIF(ManHours!B8:B400,"&gt;"&amp;N(G4),ManHours!M8:M400))</f>
        <v/>
      </c>
      <c r="E7" s="22">
        <f>IF(E4=0,0,Incidents!W10*Admin!C7/E4)</f>
        <v/>
      </c>
      <c r="G7" s="22">
        <f>IF(E4=0,0,Incidents!W9*Admin!C7/E4)</f>
        <v/>
      </c>
      <c r="I7" s="23">
        <f>MAX(Admin!C22,MIN(100,Admin!C21+Incidents!W10*Admin!C18+Incidents!W9*Admin!C19+NCR!R4*Admin!C17+Observations!W9*Admin!C16+Observations!W6*Admin!C15+Incidents!W5*Admin!C20))</f>
        <v/>
      </c>
      <c r="L7" s="24">
        <f>IF(I7&gt;=Admin!C36,"A — EXCELLENT",IF(I7&gt;=Admin!C37,"B — SATISFACTORY",IF(I7&gt;=Admin!C38,"C — NEEDS IMPROVEMENT","D — UNSATISFACTORY")))</f>
        <v/>
      </c>
    </row>
    <row r="8">
      <c r="B8" t="inlineStr">
        <is>
          <t>Target LTIFR</t>
        </is>
      </c>
      <c r="C8" s="25">
        <f>Admin!C8</f>
        <v/>
      </c>
      <c r="E8" t="inlineStr">
        <is>
          <t>vs Target</t>
        </is>
      </c>
      <c r="F8" s="5">
        <f>IF(E7&lt;=Admin!C8,"ON TARGET","ABOVE TARGET")</f>
        <v/>
      </c>
      <c r="G8" t="inlineStr">
        <is>
          <t>vs Target</t>
        </is>
      </c>
      <c r="H8" s="5">
        <f>IF(G7&lt;=Admin!C9,"ON TARGET","ABOVE TARGET")</f>
        <v/>
      </c>
    </row>
    <row r="10">
      <c r="B10" s="26" t="inlineStr">
        <is>
          <t>CASE &amp; OBSERVATION COUNTERS (auto from registers)</t>
        </is>
      </c>
    </row>
    <row r="11">
      <c r="B11" s="27" t="inlineStr">
        <is>
          <t>Near Miss</t>
        </is>
      </c>
      <c r="D11" s="27" t="inlineStr">
        <is>
          <t>Unsafe Acts</t>
        </is>
      </c>
      <c r="F11" s="27" t="inlineStr">
        <is>
          <t>Unsafe Conditions</t>
        </is>
      </c>
      <c r="H11" s="27" t="inlineStr">
        <is>
          <t>First Aid</t>
        </is>
      </c>
      <c r="J11" s="27" t="inlineStr">
        <is>
          <t>Recordable</t>
        </is>
      </c>
      <c r="L11" s="27" t="inlineStr">
        <is>
          <t>LTI</t>
        </is>
      </c>
    </row>
    <row r="12">
      <c r="B12" s="28">
        <f>Incidents!W5</f>
        <v/>
      </c>
      <c r="D12" s="28">
        <f>Incidents!W6</f>
        <v/>
      </c>
      <c r="F12" s="28">
        <f>Incidents!W7</f>
        <v/>
      </c>
      <c r="H12" s="28">
        <f>Incidents!W8</f>
        <v/>
      </c>
      <c r="J12" s="28">
        <f>Incidents!W9</f>
        <v/>
      </c>
      <c r="L12" s="28">
        <f>Incidents!W10</f>
        <v/>
      </c>
    </row>
    <row r="13">
      <c r="B13" s="27" t="inlineStr">
        <is>
          <t>NCR Open</t>
        </is>
      </c>
      <c r="D13" s="27" t="inlineStr">
        <is>
          <t>OBS Open</t>
        </is>
      </c>
      <c r="F13" s="27" t="inlineStr">
        <is>
          <t>OBS Overdue</t>
        </is>
      </c>
      <c r="H13" s="27" t="inlineStr">
        <is>
          <t>OBS Critical open</t>
        </is>
      </c>
      <c r="J13" s="27" t="inlineStr">
        <is>
          <t>Cert Expired/Crit.</t>
        </is>
      </c>
      <c r="L13" s="27" t="inlineStr">
        <is>
          <t>Equip Quarantine+</t>
        </is>
      </c>
    </row>
    <row r="14">
      <c r="B14" s="28">
        <f>NCR!R4</f>
        <v/>
      </c>
      <c r="D14" s="28">
        <f>Observations!W6</f>
        <v/>
      </c>
      <c r="F14" s="28">
        <f>Observations!W9</f>
        <v/>
      </c>
      <c r="H14" s="28">
        <f>Observations!W10</f>
        <v/>
      </c>
      <c r="J14" s="28">
        <f>Training!Q4</f>
        <v/>
      </c>
      <c r="L14" s="28">
        <f>COUNTIF(Equipment!M5:M60,"QUARANTINE / EXPIRED")+COUNTIF(Equipment!M5:M60,"CRITICAL ≤7d")</f>
        <v/>
      </c>
    </row>
    <row r="16">
      <c r="B16" s="29" t="inlineStr">
        <is>
          <t>MAN-HOURS SPLIT</t>
        </is>
      </c>
      <c r="H16" s="30" t="inlineStr">
        <is>
          <t>TOP OVERDUE OBSERVATIONS (aging)</t>
        </is>
      </c>
    </row>
    <row r="17">
      <c r="B17" t="inlineStr">
        <is>
          <t>Team Seisms</t>
        </is>
      </c>
      <c r="C17" s="19">
        <f>ManHours!C5</f>
        <v/>
      </c>
      <c r="D17" t="inlineStr">
        <is>
          <t>Team Al-Mayal</t>
        </is>
      </c>
      <c r="E17" s="19">
        <f>ManHours!E5</f>
        <v/>
      </c>
      <c r="H17" t="inlineStr">
        <is>
          <t>Use sheet Observations, sort by Overdue Days. Open items escalate every calendar day until Closed.</t>
        </is>
      </c>
    </row>
    <row r="18">
      <c r="B18" t="inlineStr">
        <is>
          <t>Indirect</t>
        </is>
      </c>
      <c r="C18" s="19">
        <f>ManHours!G5</f>
        <v/>
      </c>
      <c r="D18" t="inlineStr">
        <is>
          <t>Unified Total</t>
        </is>
      </c>
      <c r="E18" s="31">
        <f>ManHours!I5</f>
        <v/>
      </c>
    </row>
    <row r="20">
      <c r="B20" s="29" t="inlineStr">
        <is>
          <t>LIFE-SAVING FOCUS AREAS (from observation types — count)</t>
        </is>
      </c>
    </row>
    <row r="21">
      <c r="B21" s="9" t="inlineStr">
        <is>
          <t>Type</t>
        </is>
      </c>
      <c r="C21" s="9" t="inlineStr">
        <is>
          <t>Count</t>
        </is>
      </c>
    </row>
    <row r="22">
      <c r="B22" s="15" t="inlineStr">
        <is>
          <t>Lifting Operations</t>
        </is>
      </c>
      <c r="C22" s="5">
        <f>COUNTIF(Observations!$D$5:$D$250,B22)</f>
        <v/>
      </c>
    </row>
    <row r="23">
      <c r="B23" s="15" t="inlineStr">
        <is>
          <t>Working at Height</t>
        </is>
      </c>
      <c r="C23" s="5">
        <f>COUNTIF(Observations!$D$5:$D$250,B23)</f>
        <v/>
      </c>
    </row>
    <row r="24">
      <c r="B24" s="15" t="inlineStr">
        <is>
          <t>Excavation</t>
        </is>
      </c>
      <c r="C24" s="5">
        <f>COUNTIF(Observations!$D$5:$D$250,B24)</f>
        <v/>
      </c>
    </row>
    <row r="25">
      <c r="B25" s="15" t="inlineStr">
        <is>
          <t>Scaffolding</t>
        </is>
      </c>
      <c r="C25" s="5">
        <f>COUNTIF(Observations!$D$5:$D$250,B25)</f>
        <v/>
      </c>
    </row>
    <row r="26">
      <c r="B26" s="15" t="inlineStr">
        <is>
          <t>Confined Space</t>
        </is>
      </c>
      <c r="C26" s="5">
        <f>COUNTIF(Observations!$D$5:$D$250,B26)</f>
        <v/>
      </c>
    </row>
    <row r="27">
      <c r="B27" s="15" t="inlineStr">
        <is>
          <t>Electrical</t>
        </is>
      </c>
      <c r="C27" s="5">
        <f>COUNTIF(Observations!$D$5:$D$250,B27)</f>
        <v/>
      </c>
    </row>
    <row r="28">
      <c r="B28" s="15" t="inlineStr">
        <is>
          <t>Work Permits / PTW</t>
        </is>
      </c>
      <c r="C28" s="5">
        <f>COUNTIF(Observations!$D$5:$D$250,B28)</f>
        <v/>
      </c>
    </row>
    <row r="31">
      <c r="B31" s="32" t="inlineStr">
        <is>
          <t>MACRO ACTIONS (after importing VBA_EHS_Module.bas):  EHS_SendCriticalAlert  |  EHS_SendNCRAlert  |  EHS_ExportWeeklyPDF  |  EHS_ProtectAll  |  EHS_UnprotectAll  |  EHS_RefreshAging</t>
        </is>
      </c>
    </row>
    <row r="32"/>
  </sheetData>
  <mergeCells count="42">
    <mergeCell ref="F11:G11"/>
    <mergeCell ref="B7:C7"/>
    <mergeCell ref="B16:F16"/>
    <mergeCell ref="B31:N32"/>
    <mergeCell ref="J14:K14"/>
    <mergeCell ref="J13:K13"/>
    <mergeCell ref="L13:M13"/>
    <mergeCell ref="B12:C12"/>
    <mergeCell ref="A1:N1"/>
    <mergeCell ref="F12:G12"/>
    <mergeCell ref="L12:M12"/>
    <mergeCell ref="G7:H7"/>
    <mergeCell ref="B11:C11"/>
    <mergeCell ref="D11:E11"/>
    <mergeCell ref="D13:E13"/>
    <mergeCell ref="B14:C14"/>
    <mergeCell ref="G6:H6"/>
    <mergeCell ref="L14:M14"/>
    <mergeCell ref="B13:C13"/>
    <mergeCell ref="H11:I11"/>
    <mergeCell ref="E6:F6"/>
    <mergeCell ref="J11:K11"/>
    <mergeCell ref="A2:N2"/>
    <mergeCell ref="F13:G13"/>
    <mergeCell ref="H13:I13"/>
    <mergeCell ref="D12:E12"/>
    <mergeCell ref="I6:K6"/>
    <mergeCell ref="L7:N7"/>
    <mergeCell ref="B6:C6"/>
    <mergeCell ref="H12:I12"/>
    <mergeCell ref="J12:K12"/>
    <mergeCell ref="L6:M6"/>
    <mergeCell ref="E7:F7"/>
    <mergeCell ref="B20:F20"/>
    <mergeCell ref="H17:N17"/>
    <mergeCell ref="L11:M11"/>
    <mergeCell ref="D14:E14"/>
    <mergeCell ref="F14:G14"/>
    <mergeCell ref="H14:I14"/>
    <mergeCell ref="H16:N16"/>
    <mergeCell ref="I7:K7"/>
    <mergeCell ref="B10:N10"/>
  </mergeCells>
  <conditionalFormatting sqref="F8">
    <cfRule type="expression" priority="1" dxfId="0">
      <formula>F8="ABOVE TARGET"</formula>
    </cfRule>
    <cfRule type="expression" priority="3" dxfId="1">
      <formula>F8="ON TARGET"</formula>
    </cfRule>
  </conditionalFormatting>
  <conditionalFormatting sqref="H8">
    <cfRule type="expression" priority="2" dxfId="0">
      <formula>H8="ABOVE TARGET"</formula>
    </cfRule>
    <cfRule type="expression" priority="4" dxfId="1">
      <formula>H8="ON TARGET"</formula>
    </cfRule>
  </conditionalFormatting>
  <pageMargins left="0.75" right="0.75" top="1" bottom="1" header="0.5" footer="0.5"/>
  <pageSetup orientation="landscape" paperSize="9" fitToHeight="0" fitToWidth="1"/>
  <headerFooter>
    <oddHeader>&amp;LKAZ PP Expansion | EHS</oddHeader>
    <oddFooter>&amp;RConfidential |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5D6D7E"/>
    <outlinePr summaryBelow="1" summaryRight="1"/>
    <pageSetUpPr fitToPage="1"/>
  </sheetPr>
  <dimension ref="A1:J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8" customWidth="1" min="7" max="7"/>
    <col width="18" customWidth="1" min="8" max="8"/>
    <col width="18" customWidth="1" min="9" max="9"/>
    <col width="18" customWidth="1" min="10" max="10"/>
  </cols>
  <sheetData>
    <row r="1" ht="32" customHeight="1">
      <c r="A1" s="1" t="inlineStr">
        <is>
          <t>11  |  LOOKUP TABLES &amp; CLASSIFICATIONS</t>
        </is>
      </c>
    </row>
    <row r="2" ht="20" customHeight="1">
      <c r="A2" s="2" t="inlineStr">
        <is>
          <t>Do not delete named lists. Used by data validation across the workbook.</t>
        </is>
      </c>
    </row>
    <row r="4">
      <c r="B4" s="9" t="inlineStr">
        <is>
          <t>Observation Types</t>
        </is>
      </c>
      <c r="C4" s="9" t="inlineStr">
        <is>
          <t>Status</t>
        </is>
      </c>
      <c r="D4" s="9" t="inlineStr">
        <is>
          <t>Severity</t>
        </is>
      </c>
      <c r="E4" s="9" t="inlineStr">
        <is>
          <t>Subcontractors</t>
        </is>
      </c>
      <c r="F4" s="9" t="inlineStr">
        <is>
          <t>Incident Class</t>
        </is>
      </c>
      <c r="G4" s="9" t="inlineStr">
        <is>
          <t>Trade / Certificate Type</t>
        </is>
      </c>
      <c r="H4" s="9" t="inlineStr">
        <is>
          <t>Equipment Type</t>
        </is>
      </c>
      <c r="I4" s="9" t="inlineStr">
        <is>
          <t>Teams</t>
        </is>
      </c>
      <c r="J4" s="9" t="inlineStr">
        <is>
          <t>Shift</t>
        </is>
      </c>
    </row>
    <row r="5">
      <c r="B5" s="7" t="inlineStr">
        <is>
          <t>Lifting Operations</t>
        </is>
      </c>
      <c r="C5" s="7" t="inlineStr">
        <is>
          <t>Open</t>
        </is>
      </c>
      <c r="D5" s="7" t="inlineStr">
        <is>
          <t>Low</t>
        </is>
      </c>
      <c r="E5" s="7" t="inlineStr">
        <is>
          <t>Team Seisms</t>
        </is>
      </c>
      <c r="F5" s="7" t="inlineStr">
        <is>
          <t>Near Miss</t>
        </is>
      </c>
      <c r="G5" s="7" t="inlineStr">
        <is>
          <t>Crane Operator</t>
        </is>
      </c>
      <c r="H5" s="7" t="inlineStr">
        <is>
          <t>Mobile Crane</t>
        </is>
      </c>
      <c r="I5" s="7" t="inlineStr">
        <is>
          <t>Team Seisms</t>
        </is>
      </c>
      <c r="J5" s="7" t="inlineStr">
        <is>
          <t>Day</t>
        </is>
      </c>
    </row>
    <row r="6">
      <c r="B6" s="7" t="inlineStr">
        <is>
          <t>Confined Space</t>
        </is>
      </c>
      <c r="C6" s="7" t="inlineStr">
        <is>
          <t>In Progress</t>
        </is>
      </c>
      <c r="D6" s="7" t="inlineStr">
        <is>
          <t>Medium</t>
        </is>
      </c>
      <c r="E6" s="7" t="inlineStr">
        <is>
          <t>Team Al-Mayal</t>
        </is>
      </c>
      <c r="F6" s="7" t="inlineStr">
        <is>
          <t>Unsafe Act</t>
        </is>
      </c>
      <c r="G6" s="7" t="inlineStr">
        <is>
          <t>Rigger / Banksman</t>
        </is>
      </c>
      <c r="H6" s="7" t="inlineStr">
        <is>
          <t>Tower Crane</t>
        </is>
      </c>
      <c r="I6" s="7" t="inlineStr">
        <is>
          <t>Team Al-Mayal</t>
        </is>
      </c>
      <c r="J6" s="7" t="inlineStr">
        <is>
          <t>Night</t>
        </is>
      </c>
    </row>
    <row r="7">
      <c r="B7" s="7" t="inlineStr">
        <is>
          <t>Excavation</t>
        </is>
      </c>
      <c r="C7" s="7" t="inlineStr">
        <is>
          <t>Closed</t>
        </is>
      </c>
      <c r="D7" s="7" t="inlineStr">
        <is>
          <t>High</t>
        </is>
      </c>
      <c r="E7" s="7" t="inlineStr">
        <is>
          <t>Civil Subcontractor A</t>
        </is>
      </c>
      <c r="F7" s="7" t="inlineStr">
        <is>
          <t>Unsafe Condition</t>
        </is>
      </c>
      <c r="G7" s="7" t="inlineStr">
        <is>
          <t>First Aider / EMT</t>
        </is>
      </c>
      <c r="H7" s="7" t="inlineStr">
        <is>
          <t>MEWP / Manlift</t>
        </is>
      </c>
      <c r="I7" s="7" t="inlineStr">
        <is>
          <t>Shared / Indirect</t>
        </is>
      </c>
      <c r="J7" s="7" t="inlineStr">
        <is>
          <t>Double</t>
        </is>
      </c>
    </row>
    <row r="8">
      <c r="B8" s="7" t="inlineStr">
        <is>
          <t>Scaffolding</t>
        </is>
      </c>
      <c r="C8" s="7" t="inlineStr">
        <is>
          <t>Overdue</t>
        </is>
      </c>
      <c r="D8" s="7" t="inlineStr">
        <is>
          <t>Critical</t>
        </is>
      </c>
      <c r="E8" s="7" t="inlineStr">
        <is>
          <t>Mechanical Subcontractor B</t>
        </is>
      </c>
      <c r="F8" s="7" t="inlineStr">
        <is>
          <t>First Aid</t>
        </is>
      </c>
      <c r="G8" s="7" t="inlineStr">
        <is>
          <t>Welder</t>
        </is>
      </c>
      <c r="H8" s="7" t="inlineStr">
        <is>
          <t>Forklift</t>
        </is>
      </c>
    </row>
    <row r="9">
      <c r="B9" s="7" t="inlineStr">
        <is>
          <t>Working at Height</t>
        </is>
      </c>
      <c r="E9" s="7" t="inlineStr">
        <is>
          <t>Electrical Subcontractor C</t>
        </is>
      </c>
      <c r="F9" s="7" t="inlineStr">
        <is>
          <t>Medical Treatment (MTC)</t>
        </is>
      </c>
      <c r="G9" s="7" t="inlineStr">
        <is>
          <t>Scaffolder</t>
        </is>
      </c>
      <c r="H9" s="7" t="inlineStr">
        <is>
          <t>Excavator</t>
        </is>
      </c>
    </row>
    <row r="10">
      <c r="B10" s="7" t="inlineStr">
        <is>
          <t>Electrical</t>
        </is>
      </c>
      <c r="E10" s="7" t="inlineStr">
        <is>
          <t>Scaffolding Contractor D</t>
        </is>
      </c>
      <c r="F10" s="7" t="inlineStr">
        <is>
          <t>Restricted Work (RWC)</t>
        </is>
      </c>
      <c r="G10" s="7" t="inlineStr">
        <is>
          <t>Electrician</t>
        </is>
      </c>
      <c r="H10" s="7" t="inlineStr">
        <is>
          <t>Loader</t>
        </is>
      </c>
    </row>
    <row r="11">
      <c r="B11" s="7" t="inlineStr">
        <is>
          <t>Work Permits / PTW</t>
        </is>
      </c>
      <c r="E11" s="7" t="inlineStr">
        <is>
          <t>Lifting Contractor E</t>
        </is>
      </c>
      <c r="F11" s="7" t="inlineStr">
        <is>
          <t>Lost Time Injury (LTI)</t>
        </is>
      </c>
      <c r="G11" s="7" t="inlineStr">
        <is>
          <t>Confined Space Entrant</t>
        </is>
      </c>
      <c r="H11" s="7" t="inlineStr">
        <is>
          <t>Dump Truck</t>
        </is>
      </c>
    </row>
    <row r="12">
      <c r="B12" s="7" t="inlineStr">
        <is>
          <t>Hot Work</t>
        </is>
      </c>
      <c r="E12" s="7" t="inlineStr">
        <is>
          <t>Security Contractor F</t>
        </is>
      </c>
      <c r="F12" s="7" t="inlineStr">
        <is>
          <t>Recordable Case</t>
        </is>
      </c>
      <c r="G12" s="7" t="inlineStr">
        <is>
          <t>H2S / BA User</t>
        </is>
      </c>
      <c r="H12" s="7" t="inlineStr">
        <is>
          <t>Generator</t>
        </is>
      </c>
    </row>
    <row r="13">
      <c r="B13" s="7" t="inlineStr">
        <is>
          <t>Housekeeping</t>
        </is>
      </c>
      <c r="F13" s="7" t="inlineStr">
        <is>
          <t>Property Damage</t>
        </is>
      </c>
      <c r="G13" s="7" t="inlineStr">
        <is>
          <t>Forklift Operator</t>
        </is>
      </c>
      <c r="H13" s="7" t="inlineStr">
        <is>
          <t>Compressor</t>
        </is>
      </c>
    </row>
    <row r="14">
      <c r="B14" s="7" t="inlineStr">
        <is>
          <t>PPE</t>
        </is>
      </c>
      <c r="F14" s="7" t="inlineStr">
        <is>
          <t>Environmental Incident</t>
        </is>
      </c>
      <c r="G14" s="7" t="inlineStr">
        <is>
          <t>Excavator Operator</t>
        </is>
      </c>
      <c r="H14" s="7" t="inlineStr">
        <is>
          <t>Welding Machine</t>
        </is>
      </c>
    </row>
    <row r="15">
      <c r="B15" s="7" t="inlineStr">
        <is>
          <t>Traffic / Vehicles</t>
        </is>
      </c>
      <c r="F15" s="7" t="inlineStr">
        <is>
          <t>Security Incident</t>
        </is>
      </c>
      <c r="G15" s="7" t="inlineStr">
        <is>
          <t>Fire Watch</t>
        </is>
      </c>
      <c r="H15" s="7" t="inlineStr">
        <is>
          <t>Scaffold Tower</t>
        </is>
      </c>
    </row>
    <row r="16">
      <c r="B16" s="7" t="inlineStr">
        <is>
          <t>Chemical / HAZMAT</t>
        </is>
      </c>
      <c r="F16" s="7" t="inlineStr">
        <is>
          <t>Fatality</t>
        </is>
      </c>
      <c r="G16" s="7" t="inlineStr">
        <is>
          <t>EHS Officer</t>
        </is>
      </c>
      <c r="H16" s="7" t="inlineStr">
        <is>
          <t>Lifting Gear (slings/shackles)</t>
        </is>
      </c>
    </row>
    <row r="17">
      <c r="B17" s="7" t="inlineStr">
        <is>
          <t>Fire Prevention</t>
        </is>
      </c>
      <c r="G17" s="7" t="inlineStr">
        <is>
          <t>EHS Supervisor</t>
        </is>
      </c>
    </row>
    <row r="18">
      <c r="B18" s="7" t="inlineStr">
        <is>
          <t>Environmental</t>
        </is>
      </c>
      <c r="G18" s="7" t="inlineStr">
        <is>
          <t>EHS Manager</t>
        </is>
      </c>
    </row>
    <row r="19">
      <c r="B19" s="7" t="inlineStr">
        <is>
          <t>Security</t>
        </is>
      </c>
      <c r="G19" s="7" t="inlineStr">
        <is>
          <t>PTW Receiver</t>
        </is>
      </c>
    </row>
    <row r="20">
      <c r="B20" s="7" t="inlineStr">
        <is>
          <t>Welfare</t>
        </is>
      </c>
      <c r="G20" s="7" t="inlineStr">
        <is>
          <t>Authorized Gas Tester</t>
        </is>
      </c>
    </row>
    <row r="21">
      <c r="B21" s="7" t="inlineStr">
        <is>
          <t>Barricades / Signage</t>
        </is>
      </c>
    </row>
    <row r="22">
      <c r="B22" s="7" t="inlineStr">
        <is>
          <t>Tools &amp; Equipment</t>
        </is>
      </c>
    </row>
    <row r="23">
      <c r="B23" s="7" t="inlineStr">
        <is>
          <t>Energy Isolation / LOTO</t>
        </is>
      </c>
    </row>
    <row r="24">
      <c r="B24" s="7" t="inlineStr">
        <is>
          <t>Other</t>
        </is>
      </c>
    </row>
    <row r="28">
      <c r="B28" s="29" t="inlineStr">
        <is>
          <t>Risk Matrix Score (S×L)</t>
        </is>
      </c>
    </row>
    <row r="29">
      <c r="B29" t="inlineStr">
        <is>
          <t>Likelihood 1-5 × Severity 1-5. Score &gt;=15 Critical, &gt;=10 High, &gt;=5 Medium, else Low.</t>
        </is>
      </c>
    </row>
  </sheetData>
  <mergeCells count="3">
    <mergeCell ref="B28:D28"/>
    <mergeCell ref="A1:J1"/>
    <mergeCell ref="A2:J2"/>
  </mergeCells>
  <pageMargins left="0.75" right="0.75" top="1" bottom="1" header="0.5" footer="0.5"/>
  <pageSetup orientation="landscape" paperSize="9" fitToHeight="0" fitToWidth="1"/>
  <headerFooter>
    <oddHeader>&amp;LKAZ PP Expansion | EHS</oddHeader>
    <oddFooter>&amp;RConfidential |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B2545"/>
    <outlinePr summaryBelow="1" summaryRight="1"/>
    <pageSetUpPr fitToPage="1"/>
  </sheetPr>
  <dimension ref="A1:H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8" customWidth="1" min="4" max="4"/>
    <col width="22" customWidth="1" min="5" max="5"/>
    <col width="22" customWidth="1" min="6" max="6"/>
    <col width="22" customWidth="1" min="7" max="7"/>
    <col width="18" customWidth="1" min="8" max="8"/>
  </cols>
  <sheetData>
    <row r="1" ht="32" customHeight="1">
      <c r="A1" s="1" t="inlineStr">
        <is>
          <t>12  |  SYSTEM ADMINISTRATION &amp; TARGETS</t>
        </is>
      </c>
    </row>
    <row r="2" ht="20" customHeight="1">
      <c r="A2" s="2" t="inlineStr">
        <is>
          <t>Yellow = editable settings. Used by Dashboard, Scorecard, VBA email and PDF export.</t>
        </is>
      </c>
    </row>
    <row r="4">
      <c r="B4" s="9" t="inlineStr">
        <is>
          <t>PARAMETER</t>
        </is>
      </c>
      <c r="C4" s="9" t="inlineStr">
        <is>
          <t>VALUE</t>
        </is>
      </c>
      <c r="D4" s="9" t="inlineStr">
        <is>
          <t>NOTES</t>
        </is>
      </c>
    </row>
    <row r="5">
      <c r="B5" s="4" t="inlineStr">
        <is>
          <t>Project Title</t>
        </is>
      </c>
      <c r="C5" s="7" t="inlineStr">
        <is>
          <t>KAZ PP Expansion Project</t>
        </is>
      </c>
      <c r="D5" s="33" t="inlineStr">
        <is>
          <t>Shown on reports</t>
        </is>
      </c>
    </row>
    <row r="6">
      <c r="B6" s="4" t="inlineStr">
        <is>
          <t>Hours per worker per day (default)</t>
        </is>
      </c>
      <c r="C6" s="34" t="n">
        <v>10</v>
      </c>
      <c r="D6" s="33" t="inlineStr">
        <is>
          <t>Used if shift hours blank</t>
        </is>
      </c>
    </row>
    <row r="7">
      <c r="B7" s="4" t="inlineStr">
        <is>
          <t>OSHA multiplier</t>
        </is>
      </c>
      <c r="C7" s="34" t="n">
        <v>1000000</v>
      </c>
      <c r="D7" s="33" t="inlineStr">
        <is>
          <t>Do not change (OSHA 200,000 optional)</t>
        </is>
      </c>
    </row>
    <row r="8">
      <c r="B8" s="4" t="inlineStr">
        <is>
          <t>LTIFR Target</t>
        </is>
      </c>
      <c r="C8" s="35" t="n">
        <v>0</v>
      </c>
      <c r="D8" s="33" t="inlineStr">
        <is>
          <t>Project target</t>
        </is>
      </c>
    </row>
    <row r="9">
      <c r="B9" s="4" t="inlineStr">
        <is>
          <t>TRIFR Target</t>
        </is>
      </c>
      <c r="C9" s="35" t="n">
        <v>1.5</v>
      </c>
      <c r="D9" s="33" t="inlineStr">
        <is>
          <t>Project target</t>
        </is>
      </c>
    </row>
    <row r="10">
      <c r="B10" s="4" t="inlineStr">
        <is>
          <t>Observation close-out SLA (days)</t>
        </is>
      </c>
      <c r="C10" s="34" t="n">
        <v>7</v>
      </c>
      <c r="D10" s="33" t="inlineStr">
        <is>
          <t>Aging overdue after this</t>
        </is>
      </c>
    </row>
    <row r="11">
      <c r="B11" s="4" t="inlineStr">
        <is>
          <t>Critical observation SLA (days)</t>
        </is>
      </c>
      <c r="C11" s="34" t="n">
        <v>1</v>
      </c>
      <c r="D11" s="33" t="inlineStr">
        <is>
          <t>1 day — stored as 1</t>
        </is>
      </c>
    </row>
    <row r="12">
      <c r="B12" s="4" t="inlineStr">
        <is>
          <t>Certificate warning (days)</t>
        </is>
      </c>
      <c r="C12" s="34" t="n">
        <v>30</v>
      </c>
      <c r="D12" s="33" t="inlineStr">
        <is>
          <t>Conditional formatting</t>
        </is>
      </c>
    </row>
    <row r="13">
      <c r="B13" s="4" t="inlineStr">
        <is>
          <t>Certificate critical (days)</t>
        </is>
      </c>
      <c r="C13" s="34" t="n">
        <v>7</v>
      </c>
      <c r="D13" s="33" t="inlineStr">
        <is>
          <t>Red alert</t>
        </is>
      </c>
    </row>
    <row r="14">
      <c r="B14" s="4" t="inlineStr">
        <is>
          <t>NCR close-out SLA (days)</t>
        </is>
      </c>
      <c r="C14" s="34" t="n">
        <v>14</v>
      </c>
      <c r="D14" s="33" t="inlineStr"/>
    </row>
    <row r="15">
      <c r="B15" s="4" t="inlineStr">
        <is>
          <t>Scorecard: points per Open obs</t>
        </is>
      </c>
      <c r="C15" s="34" t="n">
        <v>-2</v>
      </c>
      <c r="D15" s="33" t="inlineStr">
        <is>
          <t>Negative</t>
        </is>
      </c>
    </row>
    <row r="16">
      <c r="B16" s="4" t="inlineStr">
        <is>
          <t>Scorecard: points per Overdue obs</t>
        </is>
      </c>
      <c r="C16" s="34" t="n">
        <v>-5</v>
      </c>
      <c r="D16" s="33" t="inlineStr"/>
    </row>
    <row r="17">
      <c r="B17" s="4" t="inlineStr">
        <is>
          <t>Scorecard: points per NCR</t>
        </is>
      </c>
      <c r="C17" s="34" t="n">
        <v>-8</v>
      </c>
      <c r="D17" s="33" t="inlineStr"/>
    </row>
    <row r="18">
      <c r="B18" s="4" t="inlineStr">
        <is>
          <t>Scorecard: points per LTI</t>
        </is>
      </c>
      <c r="C18" s="34" t="n">
        <v>-25</v>
      </c>
      <c r="D18" s="33" t="inlineStr"/>
    </row>
    <row r="19">
      <c r="B19" s="4" t="inlineStr">
        <is>
          <t>Scorecard: points per Recordable</t>
        </is>
      </c>
      <c r="C19" s="34" t="n">
        <v>-15</v>
      </c>
      <c r="D19" s="33" t="inlineStr"/>
    </row>
    <row r="20">
      <c r="B20" s="4" t="inlineStr">
        <is>
          <t>Scorecard: points per Near Miss (positive reporting)</t>
        </is>
      </c>
      <c r="C20" s="34" t="n">
        <v>1</v>
      </c>
      <c r="D20" s="33" t="inlineStr">
        <is>
          <t>Encourage reporting</t>
        </is>
      </c>
    </row>
    <row r="21">
      <c r="B21" s="4" t="inlineStr">
        <is>
          <t>Scorecard starting points</t>
        </is>
      </c>
      <c r="C21" s="34" t="n">
        <v>100</v>
      </c>
      <c r="D21" s="33" t="inlineStr">
        <is>
          <t>Baseline</t>
        </is>
      </c>
    </row>
    <row r="22">
      <c r="B22" s="4" t="inlineStr">
        <is>
          <t>Minimum score floor</t>
        </is>
      </c>
      <c r="C22" s="34" t="n">
        <v>0</v>
      </c>
      <c r="D22" s="33" t="inlineStr"/>
    </row>
    <row r="23">
      <c r="B23" s="4" t="inlineStr">
        <is>
          <t>Outlook To (Project Management)</t>
        </is>
      </c>
      <c r="C23" s="7" t="inlineStr">
        <is>
          <t>pm@kaz-pp.example; ehs.manager@kaz-pp.example</t>
        </is>
      </c>
      <c r="D23" s="33" t="inlineStr">
        <is>
          <t>Semicolon separated</t>
        </is>
      </c>
    </row>
    <row r="24">
      <c r="B24" s="4" t="inlineStr">
        <is>
          <t>Outlook CC (EHS)</t>
        </is>
      </c>
      <c r="C24" s="7" t="inlineStr">
        <is>
          <t>ehs.team@kaz-pp.example</t>
        </is>
      </c>
      <c r="D24" s="33" t="inlineStr"/>
    </row>
    <row r="25">
      <c r="B25" s="4" t="inlineStr">
        <is>
          <t>Send mail on Critical Incident</t>
        </is>
      </c>
      <c r="C25" s="7" t="inlineStr">
        <is>
          <t>YES</t>
        </is>
      </c>
      <c r="D25" s="33" t="inlineStr">
        <is>
          <t>YES/NO</t>
        </is>
      </c>
    </row>
    <row r="26">
      <c r="B26" s="4" t="inlineStr">
        <is>
          <t>Send mail on new NCR</t>
        </is>
      </c>
      <c r="C26" s="7" t="inlineStr">
        <is>
          <t>YES</t>
        </is>
      </c>
      <c r="D26" s="33" t="inlineStr">
        <is>
          <t>YES/NO</t>
        </is>
      </c>
    </row>
    <row r="27">
      <c r="B27" s="4" t="inlineStr">
        <is>
          <t>Weekly report folder path</t>
        </is>
      </c>
      <c r="C27" s="7" t="inlineStr">
        <is>
          <t>C:\EHS_Reports\KAZ_PP</t>
        </is>
      </c>
      <c r="D27" s="33" t="inlineStr">
        <is>
          <t>PDF export path</t>
        </is>
      </c>
    </row>
    <row r="28">
      <c r="B28" s="4" t="inlineStr">
        <is>
          <t>OpenAI API Key (optional)</t>
        </is>
      </c>
      <c r="C28" s="7" t="inlineStr"/>
      <c r="D28" s="33" t="inlineStr">
        <is>
          <t>Leave blank to use local CAPA engine</t>
        </is>
      </c>
    </row>
    <row r="29">
      <c r="B29" s="4" t="inlineStr">
        <is>
          <t>OpenAI Model</t>
        </is>
      </c>
      <c r="C29" s="7" t="inlineStr">
        <is>
          <t>gpt-4o-mini</t>
        </is>
      </c>
      <c r="D29" s="33" t="inlineStr">
        <is>
          <t>If API used</t>
        </is>
      </c>
    </row>
    <row r="30">
      <c r="B30" s="4" t="inlineStr">
        <is>
          <t>Admin password hint</t>
        </is>
      </c>
      <c r="C30" s="7" t="inlineStr">
        <is>
          <t>See Cover sheet I14 / C14</t>
        </is>
      </c>
      <c r="D30" s="33" t="inlineStr">
        <is>
          <t>Never share</t>
        </is>
      </c>
    </row>
    <row r="31">
      <c r="B31" s="4" t="inlineStr">
        <is>
          <t>Last LTI Date (override if needed)</t>
        </is>
      </c>
      <c r="C31" s="7" t="inlineStr"/>
      <c r="D31" s="33" t="inlineStr">
        <is>
          <t>Leave blank to auto from Incidents</t>
        </is>
      </c>
    </row>
    <row r="32">
      <c r="B32" s="4" t="inlineStr">
        <is>
          <t>Site location</t>
        </is>
      </c>
      <c r="C32" s="7" t="inlineStr">
        <is>
          <t>KAZ PP Site</t>
        </is>
      </c>
      <c r="D32" s="33" t="inlineStr"/>
    </row>
    <row r="34">
      <c r="B34" s="29" t="inlineStr">
        <is>
          <t>PROJECT EHS PERFORMANCE BANDS (used on Dashboard)</t>
        </is>
      </c>
    </row>
    <row r="35">
      <c r="B35" s="9" t="n"/>
      <c r="C35" s="9" t="inlineStr">
        <is>
          <t>From score</t>
        </is>
      </c>
      <c r="D35" s="9" t="inlineStr">
        <is>
          <t>Band</t>
        </is>
      </c>
    </row>
    <row r="36">
      <c r="B36" s="36" t="inlineStr">
        <is>
          <t>Excellent</t>
        </is>
      </c>
      <c r="C36" s="7" t="n">
        <v>90</v>
      </c>
      <c r="D36" s="36" t="inlineStr">
        <is>
          <t>A — Excellent (Green)</t>
        </is>
      </c>
    </row>
    <row r="37">
      <c r="B37" s="36" t="inlineStr">
        <is>
          <t>Satisfactory</t>
        </is>
      </c>
      <c r="C37" s="7" t="n">
        <v>75</v>
      </c>
      <c r="D37" s="36" t="inlineStr">
        <is>
          <t>B — Satisfactory</t>
        </is>
      </c>
    </row>
    <row r="38">
      <c r="B38" s="36" t="inlineStr">
        <is>
          <t>Needs Improvement</t>
        </is>
      </c>
      <c r="C38" s="7" t="n">
        <v>60</v>
      </c>
      <c r="D38" s="36" t="inlineStr">
        <is>
          <t>C — Needs Improvement</t>
        </is>
      </c>
    </row>
    <row r="39">
      <c r="B39" s="36" t="inlineStr">
        <is>
          <t>Unsatisfactory</t>
        </is>
      </c>
      <c r="C39" s="7" t="n">
        <v>0</v>
      </c>
      <c r="D39" s="36" t="inlineStr">
        <is>
          <t>D — Unsatisfactory / Stop Work review</t>
        </is>
      </c>
    </row>
    <row r="41">
      <c r="B41" s="37" t="inlineStr">
        <is>
          <t>VBA BUTTONS (after importing .bas): Alt+F8 → EHS_SendCriticalAlert / EHS_ExportWeeklyPDF / EHS_ProtectAll / EHS_UnprotectAll / EHS_RefreshAging / EHS_FormatObservation</t>
        </is>
      </c>
    </row>
    <row r="42"/>
  </sheetData>
  <mergeCells count="4">
    <mergeCell ref="B41:H42"/>
    <mergeCell ref="A2:H2"/>
    <mergeCell ref="B34:D34"/>
    <mergeCell ref="A1:H1"/>
  </mergeCells>
  <pageMargins left="0.75" right="0.75" top="1" bottom="1" header="0.5" footer="0.5"/>
  <pageSetup orientation="landscape" paperSize="9" fitToHeight="0" fitToWidth="1"/>
  <headerFooter>
    <oddHeader>&amp;LKAZ PP Expansion | EHS</oddHeader>
    <oddFooter>&amp;RConfidential |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ABC9C"/>
    <outlinePr summaryBelow="1" summaryRight="1"/>
    <pageSetUpPr fitToPage="1"/>
  </sheetPr>
  <dimension ref="A1:P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2" customWidth="1" min="9" max="9"/>
    <col width="14" customWidth="1" min="10" max="10"/>
    <col width="16" customWidth="1" min="11" max="11"/>
    <col width="16" customWidth="1" min="12" max="12"/>
    <col width="14" customWidth="1" min="13" max="13"/>
    <col width="18" customWidth="1" min="14" max="14"/>
    <col width="14" customWidth="1" min="15" max="15"/>
    <col width="16" customWidth="1" min="16" max="16"/>
  </cols>
  <sheetData>
    <row r="1" ht="32" customHeight="1">
      <c r="A1" s="1" t="inlineStr">
        <is>
          <t>02  |  DAILY MAN-HOURS CALCULATOR</t>
        </is>
      </c>
    </row>
    <row r="2" ht="20" customHeight="1">
      <c r="A2" s="2" t="inlineStr">
        <is>
          <t>Input daily headcount for Team Seisms and Team Al-Mayal. One consolidated total in cell P4 (and Dashboard).</t>
        </is>
      </c>
    </row>
    <row r="4">
      <c r="B4" s="38" t="inlineStr">
        <is>
          <t>CONSOLIDATED PROJECT TOTAL MAN-HOURS</t>
        </is>
      </c>
      <c r="E4" t="inlineStr">
        <is>
          <t>Hours / worker default →</t>
        </is>
      </c>
      <c r="F4" s="5">
        <f>Admin!C6</f>
        <v/>
      </c>
      <c r="G4" s="39" t="inlineStr">
        <is>
          <t>ONE CELL — TOTAL MAN-HOURS (ALL DAYS, BOTH TEAMS)</t>
        </is>
      </c>
      <c r="J4" s="40">
        <f>I5</f>
        <v/>
      </c>
      <c r="L4" t="inlineStr">
        <is>
          <t>Seisms Σ</t>
        </is>
      </c>
      <c r="M4" s="19">
        <f>SUMIF(C8:C400,"Team Seisms",K8:K400)+SUMIF(C8:C400,"Shared / Indirect",K8:K400)/2</f>
        <v/>
      </c>
      <c r="N4" s="19">
        <f>I5</f>
        <v/>
      </c>
    </row>
    <row r="5">
      <c r="B5" t="inlineStr">
        <is>
          <t>Σ Seisms MH</t>
        </is>
      </c>
      <c r="C5" s="19">
        <f>SUM(G8:G400)</f>
        <v/>
      </c>
      <c r="D5" t="inlineStr">
        <is>
          <t>Σ Al-Mayal MH</t>
        </is>
      </c>
      <c r="E5" s="19">
        <f>SUM(J8:J400)</f>
        <v/>
      </c>
      <c r="F5" t="inlineStr">
        <is>
          <t>Σ Indirect</t>
        </is>
      </c>
      <c r="G5" s="19">
        <f>SUM(L8:L400)</f>
        <v/>
      </c>
      <c r="H5" t="inlineStr">
        <is>
          <t>GRAND TOTAL (unified cell)</t>
        </is>
      </c>
      <c r="I5" s="41">
        <f>SUM(M8:M400)</f>
        <v/>
      </c>
      <c r="L5" t="inlineStr">
        <is>
          <t>This I5 is the single consolidated man-hours output used by Dashboard KPIs.</t>
        </is>
      </c>
    </row>
    <row r="6">
      <c r="B6" t="inlineStr">
        <is>
          <t>Yellow = input headcount. Blue = calculated man-hours. Copy formulas down as the project continues.</t>
        </is>
      </c>
    </row>
    <row r="7">
      <c r="B7" s="9" t="inlineStr">
        <is>
          <t>Date</t>
        </is>
      </c>
      <c r="C7" s="9" t="inlineStr">
        <is>
          <t>Day</t>
        </is>
      </c>
      <c r="D7" s="9" t="inlineStr">
        <is>
          <t>Shift</t>
        </is>
      </c>
      <c r="E7" s="9" t="inlineStr">
        <is>
          <t>Seisms Headcount</t>
        </is>
      </c>
      <c r="F7" s="9" t="inlineStr">
        <is>
          <t>Seisms Hrs/person</t>
        </is>
      </c>
      <c r="G7" s="9" t="inlineStr">
        <is>
          <t>Seisms Man-Hours</t>
        </is>
      </c>
      <c r="H7" s="9" t="inlineStr">
        <is>
          <t>Al-Mayal Headcount</t>
        </is>
      </c>
      <c r="I7" s="9" t="inlineStr">
        <is>
          <t>Al-Mayal Hrs/person</t>
        </is>
      </c>
      <c r="J7" s="9" t="inlineStr">
        <is>
          <t>Al-Mayal Man-Hours</t>
        </is>
      </c>
      <c r="K7" s="9" t="inlineStr">
        <is>
          <t>Indirect / Visitors</t>
        </is>
      </c>
      <c r="L7" s="9" t="inlineStr">
        <is>
          <t>Indirect Hours</t>
        </is>
      </c>
      <c r="M7" s="9" t="inlineStr">
        <is>
          <t>DAILY TOTAL MH</t>
        </is>
      </c>
      <c r="N7" s="9" t="inlineStr">
        <is>
          <t>Remarks</t>
        </is>
      </c>
      <c r="O7" s="9" t="inlineStr">
        <is>
          <t>Entered by</t>
        </is>
      </c>
      <c r="P7" s="9" t="inlineStr">
        <is>
          <t>Weather / Notes</t>
        </is>
      </c>
    </row>
    <row r="8" ht="18" customHeight="1">
      <c r="B8" s="42" t="n">
        <v>46082</v>
      </c>
      <c r="C8" s="5">
        <f>TEXT(B8,"DDD")</f>
        <v/>
      </c>
      <c r="D8" s="7" t="inlineStr">
        <is>
          <t>Day</t>
        </is>
      </c>
      <c r="E8" s="34" t="n">
        <v>85</v>
      </c>
      <c r="F8" s="43" t="n">
        <v>10</v>
      </c>
      <c r="G8" s="19">
        <f>E8*F8</f>
        <v/>
      </c>
      <c r="H8" s="34" t="n">
        <v>70</v>
      </c>
      <c r="I8" s="43" t="n">
        <v>10</v>
      </c>
      <c r="J8" s="19">
        <f>H8*I8</f>
        <v/>
      </c>
      <c r="K8" s="7" t="n">
        <v>8</v>
      </c>
      <c r="L8" s="19">
        <f>K8*Admin!$C$6</f>
        <v/>
      </c>
      <c r="M8" s="19">
        <f>G8+J8+L8</f>
        <v/>
      </c>
      <c r="N8" s="7" t="inlineStr"/>
      <c r="O8" s="7" t="inlineStr">
        <is>
          <t>EHS</t>
        </is>
      </c>
      <c r="P8" s="7" t="inlineStr"/>
    </row>
    <row r="9" ht="18" customHeight="1">
      <c r="B9" s="42" t="n">
        <v>46083</v>
      </c>
      <c r="C9" s="5">
        <f>TEXT(B9,"DDD")</f>
        <v/>
      </c>
      <c r="D9" s="7" t="inlineStr">
        <is>
          <t>Day</t>
        </is>
      </c>
      <c r="E9" s="34" t="n">
        <v>88</v>
      </c>
      <c r="F9" s="43" t="n">
        <v>10</v>
      </c>
      <c r="G9" s="19">
        <f>E9*F9</f>
        <v/>
      </c>
      <c r="H9" s="34" t="n">
        <v>72</v>
      </c>
      <c r="I9" s="43" t="n">
        <v>10</v>
      </c>
      <c r="J9" s="19">
        <f>H9*I9</f>
        <v/>
      </c>
      <c r="K9" s="7" t="n">
        <v>8</v>
      </c>
      <c r="L9" s="19">
        <f>K9*Admin!$C$6</f>
        <v/>
      </c>
      <c r="M9" s="19">
        <f>G9+J9+L9</f>
        <v/>
      </c>
      <c r="N9" s="7" t="inlineStr"/>
      <c r="O9" s="7" t="inlineStr">
        <is>
          <t>EHS</t>
        </is>
      </c>
      <c r="P9" s="7" t="inlineStr"/>
    </row>
    <row r="10" ht="18" customHeight="1">
      <c r="B10" s="42" t="n">
        <v>46084</v>
      </c>
      <c r="C10" s="5">
        <f>TEXT(B10,"DDD")</f>
        <v/>
      </c>
      <c r="D10" s="7" t="inlineStr">
        <is>
          <t>Day</t>
        </is>
      </c>
      <c r="E10" s="34" t="n">
        <v>91</v>
      </c>
      <c r="F10" s="43" t="n">
        <v>10</v>
      </c>
      <c r="G10" s="19">
        <f>E10*F10</f>
        <v/>
      </c>
      <c r="H10" s="34" t="n">
        <v>74</v>
      </c>
      <c r="I10" s="43" t="n">
        <v>10</v>
      </c>
      <c r="J10" s="19">
        <f>H10*I10</f>
        <v/>
      </c>
      <c r="K10" s="7" t="n">
        <v>8</v>
      </c>
      <c r="L10" s="19">
        <f>K10*Admin!$C$6</f>
        <v/>
      </c>
      <c r="M10" s="19">
        <f>G10+J10+L10</f>
        <v/>
      </c>
      <c r="N10" s="7" t="inlineStr"/>
      <c r="O10" s="7" t="inlineStr">
        <is>
          <t>EHS</t>
        </is>
      </c>
      <c r="P10" s="7" t="inlineStr"/>
    </row>
    <row r="11" ht="18" customHeight="1">
      <c r="B11" s="42" t="n">
        <v>46085</v>
      </c>
      <c r="C11" s="5">
        <f>TEXT(B11,"DDD")</f>
        <v/>
      </c>
      <c r="D11" s="7" t="inlineStr">
        <is>
          <t>Day</t>
        </is>
      </c>
      <c r="E11" s="34" t="n">
        <v>94</v>
      </c>
      <c r="F11" s="43" t="n">
        <v>10</v>
      </c>
      <c r="G11" s="19">
        <f>E11*F11</f>
        <v/>
      </c>
      <c r="H11" s="34" t="n">
        <v>76</v>
      </c>
      <c r="I11" s="43" t="n">
        <v>10</v>
      </c>
      <c r="J11" s="19">
        <f>H11*I11</f>
        <v/>
      </c>
      <c r="K11" s="7" t="n">
        <v>8</v>
      </c>
      <c r="L11" s="19">
        <f>K11*Admin!$C$6</f>
        <v/>
      </c>
      <c r="M11" s="19">
        <f>G11+J11+L11</f>
        <v/>
      </c>
      <c r="N11" s="7" t="inlineStr"/>
      <c r="O11" s="7" t="inlineStr">
        <is>
          <t>EHS</t>
        </is>
      </c>
      <c r="P11" s="7" t="inlineStr"/>
    </row>
    <row r="12" ht="18" customHeight="1">
      <c r="B12" s="42" t="n">
        <v>46086</v>
      </c>
      <c r="C12" s="5">
        <f>TEXT(B12,"DDD")</f>
        <v/>
      </c>
      <c r="D12" s="7" t="inlineStr">
        <is>
          <t>Day</t>
        </is>
      </c>
      <c r="E12" s="34" t="n">
        <v>97</v>
      </c>
      <c r="F12" s="43" t="n">
        <v>10</v>
      </c>
      <c r="G12" s="19">
        <f>E12*F12</f>
        <v/>
      </c>
      <c r="H12" s="34" t="n">
        <v>70</v>
      </c>
      <c r="I12" s="43" t="n">
        <v>10</v>
      </c>
      <c r="J12" s="19">
        <f>H12*I12</f>
        <v/>
      </c>
      <c r="K12" s="7" t="n">
        <v>8</v>
      </c>
      <c r="L12" s="19">
        <f>K12*Admin!$C$6</f>
        <v/>
      </c>
      <c r="M12" s="19">
        <f>G12+J12+L12</f>
        <v/>
      </c>
      <c r="N12" s="7" t="inlineStr"/>
      <c r="O12" s="7" t="inlineStr">
        <is>
          <t>EHS</t>
        </is>
      </c>
      <c r="P12" s="7" t="inlineStr"/>
    </row>
    <row r="13" ht="18" customHeight="1">
      <c r="B13" s="42" t="n">
        <v>46087</v>
      </c>
      <c r="C13" s="5">
        <f>TEXT(B13,"DDD")</f>
        <v/>
      </c>
      <c r="D13" s="7" t="inlineStr">
        <is>
          <t>Day</t>
        </is>
      </c>
      <c r="E13" s="34" t="n">
        <v>85</v>
      </c>
      <c r="F13" s="43" t="n">
        <v>10</v>
      </c>
      <c r="G13" s="19">
        <f>E13*F13</f>
        <v/>
      </c>
      <c r="H13" s="34" t="n">
        <v>72</v>
      </c>
      <c r="I13" s="43" t="n">
        <v>10</v>
      </c>
      <c r="J13" s="19">
        <f>H13*I13</f>
        <v/>
      </c>
      <c r="K13" s="7" t="n">
        <v>8</v>
      </c>
      <c r="L13" s="19">
        <f>K13*Admin!$C$6</f>
        <v/>
      </c>
      <c r="M13" s="19">
        <f>G13+J13+L13</f>
        <v/>
      </c>
      <c r="N13" s="7" t="inlineStr"/>
      <c r="O13" s="7" t="inlineStr">
        <is>
          <t>EHS</t>
        </is>
      </c>
      <c r="P13" s="7" t="inlineStr"/>
    </row>
    <row r="14" ht="18" customHeight="1">
      <c r="B14" s="42" t="n">
        <v>46088</v>
      </c>
      <c r="C14" s="5">
        <f>TEXT(B14,"DDD")</f>
        <v/>
      </c>
      <c r="D14" s="7" t="inlineStr">
        <is>
          <t>Day</t>
        </is>
      </c>
      <c r="E14" s="34" t="n">
        <v>88</v>
      </c>
      <c r="F14" s="43" t="n">
        <v>10</v>
      </c>
      <c r="G14" s="19">
        <f>E14*F14</f>
        <v/>
      </c>
      <c r="H14" s="34" t="n">
        <v>74</v>
      </c>
      <c r="I14" s="43" t="n">
        <v>10</v>
      </c>
      <c r="J14" s="19">
        <f>H14*I14</f>
        <v/>
      </c>
      <c r="K14" s="7" t="n">
        <v>8</v>
      </c>
      <c r="L14" s="19">
        <f>K14*Admin!$C$6</f>
        <v/>
      </c>
      <c r="M14" s="19">
        <f>G14+J14+L14</f>
        <v/>
      </c>
      <c r="N14" s="7" t="inlineStr"/>
      <c r="O14" s="7" t="inlineStr">
        <is>
          <t>EHS</t>
        </is>
      </c>
      <c r="P14" s="7" t="inlineStr"/>
    </row>
    <row r="15" ht="18" customHeight="1">
      <c r="B15" s="42" t="n">
        <v>46089</v>
      </c>
      <c r="C15" s="5">
        <f>TEXT(B15,"DDD")</f>
        <v/>
      </c>
      <c r="D15" s="7" t="inlineStr">
        <is>
          <t>Day</t>
        </is>
      </c>
      <c r="E15" s="34" t="n">
        <v>91</v>
      </c>
      <c r="F15" s="43" t="n">
        <v>10</v>
      </c>
      <c r="G15" s="19">
        <f>E15*F15</f>
        <v/>
      </c>
      <c r="H15" s="34" t="n">
        <v>76</v>
      </c>
      <c r="I15" s="43" t="n">
        <v>10</v>
      </c>
      <c r="J15" s="19">
        <f>H15*I15</f>
        <v/>
      </c>
      <c r="K15" s="7" t="n">
        <v>8</v>
      </c>
      <c r="L15" s="19">
        <f>K15*Admin!$C$6</f>
        <v/>
      </c>
      <c r="M15" s="19">
        <f>G15+J15+L15</f>
        <v/>
      </c>
      <c r="N15" s="7" t="inlineStr"/>
      <c r="O15" s="7" t="inlineStr">
        <is>
          <t>EHS</t>
        </is>
      </c>
      <c r="P15" s="7" t="inlineStr"/>
    </row>
    <row r="16" ht="18" customHeight="1">
      <c r="B16" s="42" t="n">
        <v>46090</v>
      </c>
      <c r="C16" s="5">
        <f>TEXT(B16,"DDD")</f>
        <v/>
      </c>
      <c r="D16" s="7" t="inlineStr">
        <is>
          <t>Day</t>
        </is>
      </c>
      <c r="E16" s="34" t="n">
        <v>94</v>
      </c>
      <c r="F16" s="43" t="n">
        <v>10</v>
      </c>
      <c r="G16" s="19">
        <f>E16*F16</f>
        <v/>
      </c>
      <c r="H16" s="34" t="n">
        <v>70</v>
      </c>
      <c r="I16" s="43" t="n">
        <v>10</v>
      </c>
      <c r="J16" s="19">
        <f>H16*I16</f>
        <v/>
      </c>
      <c r="K16" s="7" t="n">
        <v>8</v>
      </c>
      <c r="L16" s="19">
        <f>K16*Admin!$C$6</f>
        <v/>
      </c>
      <c r="M16" s="19">
        <f>G16+J16+L16</f>
        <v/>
      </c>
      <c r="N16" s="7" t="inlineStr"/>
      <c r="O16" s="7" t="inlineStr">
        <is>
          <t>EHS</t>
        </is>
      </c>
      <c r="P16" s="7" t="inlineStr"/>
    </row>
    <row r="17" ht="18" customHeight="1">
      <c r="B17" s="42" t="n">
        <v>46091</v>
      </c>
      <c r="C17" s="5">
        <f>TEXT(B17,"DDD")</f>
        <v/>
      </c>
      <c r="D17" s="7" t="inlineStr">
        <is>
          <t>Day</t>
        </is>
      </c>
      <c r="E17" s="34" t="n">
        <v>97</v>
      </c>
      <c r="F17" s="43" t="n">
        <v>10</v>
      </c>
      <c r="G17" s="19">
        <f>E17*F17</f>
        <v/>
      </c>
      <c r="H17" s="34" t="n">
        <v>72</v>
      </c>
      <c r="I17" s="43" t="n">
        <v>10</v>
      </c>
      <c r="J17" s="19">
        <f>H17*I17</f>
        <v/>
      </c>
      <c r="K17" s="7" t="n">
        <v>8</v>
      </c>
      <c r="L17" s="19">
        <f>K17*Admin!$C$6</f>
        <v/>
      </c>
      <c r="M17" s="19">
        <f>G17+J17+L17</f>
        <v/>
      </c>
      <c r="N17" s="7" t="inlineStr"/>
      <c r="O17" s="7" t="inlineStr">
        <is>
          <t>EHS</t>
        </is>
      </c>
      <c r="P17" s="7" t="inlineStr"/>
    </row>
    <row r="18" ht="18" customHeight="1">
      <c r="B18" s="42" t="n">
        <v>46092</v>
      </c>
      <c r="C18" s="5">
        <f>TEXT(B18,"DDD")</f>
        <v/>
      </c>
      <c r="D18" s="7" t="inlineStr">
        <is>
          <t>Day</t>
        </is>
      </c>
      <c r="E18" s="34" t="n">
        <v>85</v>
      </c>
      <c r="F18" s="43" t="n">
        <v>10</v>
      </c>
      <c r="G18" s="19">
        <f>E18*F18</f>
        <v/>
      </c>
      <c r="H18" s="34" t="n">
        <v>74</v>
      </c>
      <c r="I18" s="43" t="n">
        <v>10</v>
      </c>
      <c r="J18" s="19">
        <f>H18*I18</f>
        <v/>
      </c>
      <c r="K18" s="7" t="n">
        <v>8</v>
      </c>
      <c r="L18" s="19">
        <f>K18*Admin!$C$6</f>
        <v/>
      </c>
      <c r="M18" s="19">
        <f>G18+J18+L18</f>
        <v/>
      </c>
      <c r="N18" s="7" t="inlineStr"/>
      <c r="O18" s="7" t="inlineStr">
        <is>
          <t>EHS</t>
        </is>
      </c>
      <c r="P18" s="7" t="inlineStr"/>
    </row>
    <row r="19" ht="18" customHeight="1">
      <c r="B19" s="42" t="n">
        <v>46093</v>
      </c>
      <c r="C19" s="5">
        <f>TEXT(B19,"DDD")</f>
        <v/>
      </c>
      <c r="D19" s="7" t="inlineStr">
        <is>
          <t>Day</t>
        </is>
      </c>
      <c r="E19" s="34" t="n">
        <v>88</v>
      </c>
      <c r="F19" s="43" t="n">
        <v>10</v>
      </c>
      <c r="G19" s="19">
        <f>E19*F19</f>
        <v/>
      </c>
      <c r="H19" s="34" t="n">
        <v>76</v>
      </c>
      <c r="I19" s="43" t="n">
        <v>10</v>
      </c>
      <c r="J19" s="19">
        <f>H19*I19</f>
        <v/>
      </c>
      <c r="K19" s="7" t="n">
        <v>8</v>
      </c>
      <c r="L19" s="19">
        <f>K19*Admin!$C$6</f>
        <v/>
      </c>
      <c r="M19" s="19">
        <f>G19+J19+L19</f>
        <v/>
      </c>
      <c r="N19" s="7" t="inlineStr"/>
      <c r="O19" s="7" t="inlineStr">
        <is>
          <t>EHS</t>
        </is>
      </c>
      <c r="P19" s="7" t="inlineStr"/>
    </row>
    <row r="20" ht="18" customHeight="1">
      <c r="B20" s="42" t="n">
        <v>46094</v>
      </c>
      <c r="C20" s="5">
        <f>TEXT(B20,"DDD")</f>
        <v/>
      </c>
      <c r="D20" s="7" t="inlineStr">
        <is>
          <t>Day</t>
        </is>
      </c>
      <c r="E20" s="34" t="n">
        <v>91</v>
      </c>
      <c r="F20" s="43" t="n">
        <v>10</v>
      </c>
      <c r="G20" s="19">
        <f>E20*F20</f>
        <v/>
      </c>
      <c r="H20" s="34" t="n">
        <v>70</v>
      </c>
      <c r="I20" s="43" t="n">
        <v>10</v>
      </c>
      <c r="J20" s="19">
        <f>H20*I20</f>
        <v/>
      </c>
      <c r="K20" s="7" t="n">
        <v>8</v>
      </c>
      <c r="L20" s="19">
        <f>K20*Admin!$C$6</f>
        <v/>
      </c>
      <c r="M20" s="19">
        <f>G20+J20+L20</f>
        <v/>
      </c>
      <c r="N20" s="7" t="inlineStr"/>
      <c r="O20" s="7" t="inlineStr">
        <is>
          <t>EHS</t>
        </is>
      </c>
      <c r="P20" s="7" t="inlineStr"/>
    </row>
    <row r="21" ht="18" customHeight="1">
      <c r="B21" s="42" t="n">
        <v>46095</v>
      </c>
      <c r="C21" s="5">
        <f>TEXT(B21,"DDD")</f>
        <v/>
      </c>
      <c r="D21" s="7" t="inlineStr">
        <is>
          <t>Day</t>
        </is>
      </c>
      <c r="E21" s="34" t="n">
        <v>94</v>
      </c>
      <c r="F21" s="43" t="n">
        <v>10</v>
      </c>
      <c r="G21" s="19">
        <f>E21*F21</f>
        <v/>
      </c>
      <c r="H21" s="34" t="n">
        <v>72</v>
      </c>
      <c r="I21" s="43" t="n">
        <v>10</v>
      </c>
      <c r="J21" s="19">
        <f>H21*I21</f>
        <v/>
      </c>
      <c r="K21" s="7" t="n">
        <v>8</v>
      </c>
      <c r="L21" s="19">
        <f>K21*Admin!$C$6</f>
        <v/>
      </c>
      <c r="M21" s="19">
        <f>G21+J21+L21</f>
        <v/>
      </c>
      <c r="N21" s="7" t="inlineStr"/>
      <c r="O21" s="7" t="inlineStr">
        <is>
          <t>EHS</t>
        </is>
      </c>
      <c r="P21" s="7" t="inlineStr"/>
    </row>
    <row r="22">
      <c r="B22" s="42" t="n"/>
      <c r="C22" s="5">
        <f>IF(B22="","",TEXT(B22,"DDD"))</f>
        <v/>
      </c>
      <c r="D22" s="7" t="n"/>
      <c r="E22" s="7" t="n"/>
      <c r="F22" s="7" t="n"/>
      <c r="G22" s="19">
        <f>IF(E22="","",E22*IF(F22="",Admin!$C$6,F22))</f>
        <v/>
      </c>
      <c r="H22" s="7" t="n"/>
      <c r="I22" s="7" t="n"/>
      <c r="J22" s="19">
        <f>IF(H22="","",H22*IF(I22="",Admin!$C$6,I22))</f>
        <v/>
      </c>
      <c r="K22" s="7" t="n"/>
      <c r="L22" s="19">
        <f>IF(K22="","",K22*Admin!$C$6)</f>
        <v/>
      </c>
      <c r="M22" s="19">
        <f>IF(AND(G22="",J22="",L22=""),"",N(G22)+N(J22)+N(L22))</f>
        <v/>
      </c>
      <c r="N22" s="7" t="n"/>
      <c r="O22" s="7" t="n"/>
      <c r="P22" s="7" t="n"/>
    </row>
    <row r="23">
      <c r="B23" s="42" t="n"/>
      <c r="C23" s="5">
        <f>IF(B23="","",TEXT(B23,"DDD"))</f>
        <v/>
      </c>
      <c r="D23" s="7" t="n"/>
      <c r="E23" s="7" t="n"/>
      <c r="F23" s="7" t="n"/>
      <c r="G23" s="19">
        <f>IF(E23="","",E23*IF(F23="",Admin!$C$6,F23))</f>
        <v/>
      </c>
      <c r="H23" s="7" t="n"/>
      <c r="I23" s="7" t="n"/>
      <c r="J23" s="19">
        <f>IF(H23="","",H23*IF(I23="",Admin!$C$6,I23))</f>
        <v/>
      </c>
      <c r="K23" s="7" t="n"/>
      <c r="L23" s="19">
        <f>IF(K23="","",K23*Admin!$C$6)</f>
        <v/>
      </c>
      <c r="M23" s="19">
        <f>IF(AND(G23="",J23="",L23=""),"",N(G23)+N(J23)+N(L23))</f>
        <v/>
      </c>
      <c r="N23" s="7" t="n"/>
      <c r="O23" s="7" t="n"/>
      <c r="P23" s="7" t="n"/>
    </row>
    <row r="24">
      <c r="B24" s="42" t="n"/>
      <c r="C24" s="5">
        <f>IF(B24="","",TEXT(B24,"DDD"))</f>
        <v/>
      </c>
      <c r="D24" s="7" t="n"/>
      <c r="E24" s="7" t="n"/>
      <c r="F24" s="7" t="n"/>
      <c r="G24" s="19">
        <f>IF(E24="","",E24*IF(F24="",Admin!$C$6,F24))</f>
        <v/>
      </c>
      <c r="H24" s="7" t="n"/>
      <c r="I24" s="7" t="n"/>
      <c r="J24" s="19">
        <f>IF(H24="","",H24*IF(I24="",Admin!$C$6,I24))</f>
        <v/>
      </c>
      <c r="K24" s="7" t="n"/>
      <c r="L24" s="19">
        <f>IF(K24="","",K24*Admin!$C$6)</f>
        <v/>
      </c>
      <c r="M24" s="19">
        <f>IF(AND(G24="",J24="",L24=""),"",N(G24)+N(J24)+N(L24))</f>
        <v/>
      </c>
      <c r="N24" s="7" t="n"/>
      <c r="O24" s="7" t="n"/>
      <c r="P24" s="7" t="n"/>
    </row>
    <row r="25">
      <c r="B25" s="42" t="n"/>
      <c r="C25" s="5">
        <f>IF(B25="","",TEXT(B25,"DDD"))</f>
        <v/>
      </c>
      <c r="D25" s="7" t="n"/>
      <c r="E25" s="7" t="n"/>
      <c r="F25" s="7" t="n"/>
      <c r="G25" s="19">
        <f>IF(E25="","",E25*IF(F25="",Admin!$C$6,F25))</f>
        <v/>
      </c>
      <c r="H25" s="7" t="n"/>
      <c r="I25" s="7" t="n"/>
      <c r="J25" s="19">
        <f>IF(H25="","",H25*IF(I25="",Admin!$C$6,I25))</f>
        <v/>
      </c>
      <c r="K25" s="7" t="n"/>
      <c r="L25" s="19">
        <f>IF(K25="","",K25*Admin!$C$6)</f>
        <v/>
      </c>
      <c r="M25" s="19">
        <f>IF(AND(G25="",J25="",L25=""),"",N(G25)+N(J25)+N(L25))</f>
        <v/>
      </c>
      <c r="N25" s="7" t="n"/>
      <c r="O25" s="7" t="n"/>
      <c r="P25" s="7" t="n"/>
    </row>
    <row r="26">
      <c r="B26" s="42" t="n"/>
      <c r="C26" s="5">
        <f>IF(B26="","",TEXT(B26,"DDD"))</f>
        <v/>
      </c>
      <c r="D26" s="7" t="n"/>
      <c r="E26" s="7" t="n"/>
      <c r="F26" s="7" t="n"/>
      <c r="G26" s="19">
        <f>IF(E26="","",E26*IF(F26="",Admin!$C$6,F26))</f>
        <v/>
      </c>
      <c r="H26" s="7" t="n"/>
      <c r="I26" s="7" t="n"/>
      <c r="J26" s="19">
        <f>IF(H26="","",H26*IF(I26="",Admin!$C$6,I26))</f>
        <v/>
      </c>
      <c r="K26" s="7" t="n"/>
      <c r="L26" s="19">
        <f>IF(K26="","",K26*Admin!$C$6)</f>
        <v/>
      </c>
      <c r="M26" s="19">
        <f>IF(AND(G26="",J26="",L26=""),"",N(G26)+N(J26)+N(L26))</f>
        <v/>
      </c>
      <c r="N26" s="7" t="n"/>
      <c r="O26" s="7" t="n"/>
      <c r="P26" s="7" t="n"/>
    </row>
    <row r="27">
      <c r="B27" s="42" t="n"/>
      <c r="C27" s="5">
        <f>IF(B27="","",TEXT(B27,"DDD"))</f>
        <v/>
      </c>
      <c r="D27" s="7" t="n"/>
      <c r="E27" s="7" t="n"/>
      <c r="F27" s="7" t="n"/>
      <c r="G27" s="19">
        <f>IF(E27="","",E27*IF(F27="",Admin!$C$6,F27))</f>
        <v/>
      </c>
      <c r="H27" s="7" t="n"/>
      <c r="I27" s="7" t="n"/>
      <c r="J27" s="19">
        <f>IF(H27="","",H27*IF(I27="",Admin!$C$6,I27))</f>
        <v/>
      </c>
      <c r="K27" s="7" t="n"/>
      <c r="L27" s="19">
        <f>IF(K27="","",K27*Admin!$C$6)</f>
        <v/>
      </c>
      <c r="M27" s="19">
        <f>IF(AND(G27="",J27="",L27=""),"",N(G27)+N(J27)+N(L27))</f>
        <v/>
      </c>
      <c r="N27" s="7" t="n"/>
      <c r="O27" s="7" t="n"/>
      <c r="P27" s="7" t="n"/>
    </row>
    <row r="28">
      <c r="B28" s="42" t="n"/>
      <c r="C28" s="5">
        <f>IF(B28="","",TEXT(B28,"DDD"))</f>
        <v/>
      </c>
      <c r="D28" s="7" t="n"/>
      <c r="E28" s="7" t="n"/>
      <c r="F28" s="7" t="n"/>
      <c r="G28" s="19">
        <f>IF(E28="","",E28*IF(F28="",Admin!$C$6,F28))</f>
        <v/>
      </c>
      <c r="H28" s="7" t="n"/>
      <c r="I28" s="7" t="n"/>
      <c r="J28" s="19">
        <f>IF(H28="","",H28*IF(I28="",Admin!$C$6,I28))</f>
        <v/>
      </c>
      <c r="K28" s="7" t="n"/>
      <c r="L28" s="19">
        <f>IF(K28="","",K28*Admin!$C$6)</f>
        <v/>
      </c>
      <c r="M28" s="19">
        <f>IF(AND(G28="",J28="",L28=""),"",N(G28)+N(J28)+N(L28))</f>
        <v/>
      </c>
      <c r="N28" s="7" t="n"/>
      <c r="O28" s="7" t="n"/>
      <c r="P28" s="7" t="n"/>
    </row>
    <row r="29">
      <c r="B29" s="42" t="n"/>
      <c r="C29" s="5">
        <f>IF(B29="","",TEXT(B29,"DDD"))</f>
        <v/>
      </c>
      <c r="D29" s="7" t="n"/>
      <c r="E29" s="7" t="n"/>
      <c r="F29" s="7" t="n"/>
      <c r="G29" s="19">
        <f>IF(E29="","",E29*IF(F29="",Admin!$C$6,F29))</f>
        <v/>
      </c>
      <c r="H29" s="7" t="n"/>
      <c r="I29" s="7" t="n"/>
      <c r="J29" s="19">
        <f>IF(H29="","",H29*IF(I29="",Admin!$C$6,I29))</f>
        <v/>
      </c>
      <c r="K29" s="7" t="n"/>
      <c r="L29" s="19">
        <f>IF(K29="","",K29*Admin!$C$6)</f>
        <v/>
      </c>
      <c r="M29" s="19">
        <f>IF(AND(G29="",J29="",L29=""),"",N(G29)+N(J29)+N(L29))</f>
        <v/>
      </c>
      <c r="N29" s="7" t="n"/>
      <c r="O29" s="7" t="n"/>
      <c r="P29" s="7" t="n"/>
    </row>
    <row r="30">
      <c r="B30" s="42" t="n"/>
      <c r="C30" s="5">
        <f>IF(B30="","",TEXT(B30,"DDD"))</f>
        <v/>
      </c>
      <c r="D30" s="7" t="n"/>
      <c r="E30" s="7" t="n"/>
      <c r="F30" s="7" t="n"/>
      <c r="G30" s="19">
        <f>IF(E30="","",E30*IF(F30="",Admin!$C$6,F30))</f>
        <v/>
      </c>
      <c r="H30" s="7" t="n"/>
      <c r="I30" s="7" t="n"/>
      <c r="J30" s="19">
        <f>IF(H30="","",H30*IF(I30="",Admin!$C$6,I30))</f>
        <v/>
      </c>
      <c r="K30" s="7" t="n"/>
      <c r="L30" s="19">
        <f>IF(K30="","",K30*Admin!$C$6)</f>
        <v/>
      </c>
      <c r="M30" s="19">
        <f>IF(AND(G30="",J30="",L30=""),"",N(G30)+N(J30)+N(L30))</f>
        <v/>
      </c>
      <c r="N30" s="7" t="n"/>
      <c r="O30" s="7" t="n"/>
      <c r="P30" s="7" t="n"/>
    </row>
    <row r="31">
      <c r="B31" s="42" t="n"/>
      <c r="C31" s="5">
        <f>IF(B31="","",TEXT(B31,"DDD"))</f>
        <v/>
      </c>
      <c r="D31" s="7" t="n"/>
      <c r="E31" s="7" t="n"/>
      <c r="F31" s="7" t="n"/>
      <c r="G31" s="19">
        <f>IF(E31="","",E31*IF(F31="",Admin!$C$6,F31))</f>
        <v/>
      </c>
      <c r="H31" s="7" t="n"/>
      <c r="I31" s="7" t="n"/>
      <c r="J31" s="19">
        <f>IF(H31="","",H31*IF(I31="",Admin!$C$6,I31))</f>
        <v/>
      </c>
      <c r="K31" s="7" t="n"/>
      <c r="L31" s="19">
        <f>IF(K31="","",K31*Admin!$C$6)</f>
        <v/>
      </c>
      <c r="M31" s="19">
        <f>IF(AND(G31="",J31="",L31=""),"",N(G31)+N(J31)+N(L31))</f>
        <v/>
      </c>
      <c r="N31" s="7" t="n"/>
      <c r="O31" s="7" t="n"/>
      <c r="P31" s="7" t="n"/>
    </row>
    <row r="32">
      <c r="B32" s="42" t="n"/>
      <c r="C32" s="5">
        <f>IF(B32="","",TEXT(B32,"DDD"))</f>
        <v/>
      </c>
      <c r="D32" s="7" t="n"/>
      <c r="E32" s="7" t="n"/>
      <c r="F32" s="7" t="n"/>
      <c r="G32" s="19">
        <f>IF(E32="","",E32*IF(F32="",Admin!$C$6,F32))</f>
        <v/>
      </c>
      <c r="H32" s="7" t="n"/>
      <c r="I32" s="7" t="n"/>
      <c r="J32" s="19">
        <f>IF(H32="","",H32*IF(I32="",Admin!$C$6,I32))</f>
        <v/>
      </c>
      <c r="K32" s="7" t="n"/>
      <c r="L32" s="19">
        <f>IF(K32="","",K32*Admin!$C$6)</f>
        <v/>
      </c>
      <c r="M32" s="19">
        <f>IF(AND(G32="",J32="",L32=""),"",N(G32)+N(J32)+N(L32))</f>
        <v/>
      </c>
      <c r="N32" s="7" t="n"/>
      <c r="O32" s="7" t="n"/>
      <c r="P32" s="7" t="n"/>
    </row>
    <row r="33">
      <c r="B33" s="42" t="n"/>
      <c r="C33" s="5">
        <f>IF(B33="","",TEXT(B33,"DDD"))</f>
        <v/>
      </c>
      <c r="D33" s="7" t="n"/>
      <c r="E33" s="7" t="n"/>
      <c r="F33" s="7" t="n"/>
      <c r="G33" s="19">
        <f>IF(E33="","",E33*IF(F33="",Admin!$C$6,F33))</f>
        <v/>
      </c>
      <c r="H33" s="7" t="n"/>
      <c r="I33" s="7" t="n"/>
      <c r="J33" s="19">
        <f>IF(H33="","",H33*IF(I33="",Admin!$C$6,I33))</f>
        <v/>
      </c>
      <c r="K33" s="7" t="n"/>
      <c r="L33" s="19">
        <f>IF(K33="","",K33*Admin!$C$6)</f>
        <v/>
      </c>
      <c r="M33" s="19">
        <f>IF(AND(G33="",J33="",L33=""),"",N(G33)+N(J33)+N(L33))</f>
        <v/>
      </c>
      <c r="N33" s="7" t="n"/>
      <c r="O33" s="7" t="n"/>
      <c r="P33" s="7" t="n"/>
    </row>
    <row r="34">
      <c r="B34" s="42" t="n"/>
      <c r="C34" s="5">
        <f>IF(B34="","",TEXT(B34,"DDD"))</f>
        <v/>
      </c>
      <c r="D34" s="7" t="n"/>
      <c r="E34" s="7" t="n"/>
      <c r="F34" s="7" t="n"/>
      <c r="G34" s="19">
        <f>IF(E34="","",E34*IF(F34="",Admin!$C$6,F34))</f>
        <v/>
      </c>
      <c r="H34" s="7" t="n"/>
      <c r="I34" s="7" t="n"/>
      <c r="J34" s="19">
        <f>IF(H34="","",H34*IF(I34="",Admin!$C$6,I34))</f>
        <v/>
      </c>
      <c r="K34" s="7" t="n"/>
      <c r="L34" s="19">
        <f>IF(K34="","",K34*Admin!$C$6)</f>
        <v/>
      </c>
      <c r="M34" s="19">
        <f>IF(AND(G34="",J34="",L34=""),"",N(G34)+N(J34)+N(L34))</f>
        <v/>
      </c>
      <c r="N34" s="7" t="n"/>
      <c r="O34" s="7" t="n"/>
      <c r="P34" s="7" t="n"/>
    </row>
    <row r="35">
      <c r="B35" s="42" t="n"/>
      <c r="C35" s="5">
        <f>IF(B35="","",TEXT(B35,"DDD"))</f>
        <v/>
      </c>
      <c r="D35" s="7" t="n"/>
      <c r="E35" s="7" t="n"/>
      <c r="F35" s="7" t="n"/>
      <c r="G35" s="19">
        <f>IF(E35="","",E35*IF(F35="",Admin!$C$6,F35))</f>
        <v/>
      </c>
      <c r="H35" s="7" t="n"/>
      <c r="I35" s="7" t="n"/>
      <c r="J35" s="19">
        <f>IF(H35="","",H35*IF(I35="",Admin!$C$6,I35))</f>
        <v/>
      </c>
      <c r="K35" s="7" t="n"/>
      <c r="L35" s="19">
        <f>IF(K35="","",K35*Admin!$C$6)</f>
        <v/>
      </c>
      <c r="M35" s="19">
        <f>IF(AND(G35="",J35="",L35=""),"",N(G35)+N(J35)+N(L35))</f>
        <v/>
      </c>
      <c r="N35" s="7" t="n"/>
      <c r="O35" s="7" t="n"/>
      <c r="P35" s="7" t="n"/>
    </row>
    <row r="36">
      <c r="B36" s="42" t="n"/>
      <c r="C36" s="5">
        <f>IF(B36="","",TEXT(B36,"DDD"))</f>
        <v/>
      </c>
      <c r="D36" s="7" t="n"/>
      <c r="E36" s="7" t="n"/>
      <c r="F36" s="7" t="n"/>
      <c r="G36" s="19">
        <f>IF(E36="","",E36*IF(F36="",Admin!$C$6,F36))</f>
        <v/>
      </c>
      <c r="H36" s="7" t="n"/>
      <c r="I36" s="7" t="n"/>
      <c r="J36" s="19">
        <f>IF(H36="","",H36*IF(I36="",Admin!$C$6,I36))</f>
        <v/>
      </c>
      <c r="K36" s="7" t="n"/>
      <c r="L36" s="19">
        <f>IF(K36="","",K36*Admin!$C$6)</f>
        <v/>
      </c>
      <c r="M36" s="19">
        <f>IF(AND(G36="",J36="",L36=""),"",N(G36)+N(J36)+N(L36))</f>
        <v/>
      </c>
      <c r="N36" s="7" t="n"/>
      <c r="O36" s="7" t="n"/>
      <c r="P36" s="7" t="n"/>
    </row>
    <row r="37">
      <c r="B37" s="42" t="n"/>
      <c r="C37" s="5">
        <f>IF(B37="","",TEXT(B37,"DDD"))</f>
        <v/>
      </c>
      <c r="D37" s="7" t="n"/>
      <c r="E37" s="7" t="n"/>
      <c r="F37" s="7" t="n"/>
      <c r="G37" s="19">
        <f>IF(E37="","",E37*IF(F37="",Admin!$C$6,F37))</f>
        <v/>
      </c>
      <c r="H37" s="7" t="n"/>
      <c r="I37" s="7" t="n"/>
      <c r="J37" s="19">
        <f>IF(H37="","",H37*IF(I37="",Admin!$C$6,I37))</f>
        <v/>
      </c>
      <c r="K37" s="7" t="n"/>
      <c r="L37" s="19">
        <f>IF(K37="","",K37*Admin!$C$6)</f>
        <v/>
      </c>
      <c r="M37" s="19">
        <f>IF(AND(G37="",J37="",L37=""),"",N(G37)+N(J37)+N(L37))</f>
        <v/>
      </c>
      <c r="N37" s="7" t="n"/>
      <c r="O37" s="7" t="n"/>
      <c r="P37" s="7" t="n"/>
    </row>
    <row r="38">
      <c r="B38" s="42" t="n"/>
      <c r="C38" s="5">
        <f>IF(B38="","",TEXT(B38,"DDD"))</f>
        <v/>
      </c>
      <c r="D38" s="7" t="n"/>
      <c r="E38" s="7" t="n"/>
      <c r="F38" s="7" t="n"/>
      <c r="G38" s="19">
        <f>IF(E38="","",E38*IF(F38="",Admin!$C$6,F38))</f>
        <v/>
      </c>
      <c r="H38" s="7" t="n"/>
      <c r="I38" s="7" t="n"/>
      <c r="J38" s="19">
        <f>IF(H38="","",H38*IF(I38="",Admin!$C$6,I38))</f>
        <v/>
      </c>
      <c r="K38" s="7" t="n"/>
      <c r="L38" s="19">
        <f>IF(K38="","",K38*Admin!$C$6)</f>
        <v/>
      </c>
      <c r="M38" s="19">
        <f>IF(AND(G38="",J38="",L38=""),"",N(G38)+N(J38)+N(L38))</f>
        <v/>
      </c>
      <c r="N38" s="7" t="n"/>
      <c r="O38" s="7" t="n"/>
      <c r="P38" s="7" t="n"/>
    </row>
    <row r="39">
      <c r="B39" s="42" t="n"/>
      <c r="C39" s="5">
        <f>IF(B39="","",TEXT(B39,"DDD"))</f>
        <v/>
      </c>
      <c r="D39" s="7" t="n"/>
      <c r="E39" s="7" t="n"/>
      <c r="F39" s="7" t="n"/>
      <c r="G39" s="19">
        <f>IF(E39="","",E39*IF(F39="",Admin!$C$6,F39))</f>
        <v/>
      </c>
      <c r="H39" s="7" t="n"/>
      <c r="I39" s="7" t="n"/>
      <c r="J39" s="19">
        <f>IF(H39="","",H39*IF(I39="",Admin!$C$6,I39))</f>
        <v/>
      </c>
      <c r="K39" s="7" t="n"/>
      <c r="L39" s="19">
        <f>IF(K39="","",K39*Admin!$C$6)</f>
        <v/>
      </c>
      <c r="M39" s="19">
        <f>IF(AND(G39="",J39="",L39=""),"",N(G39)+N(J39)+N(L39))</f>
        <v/>
      </c>
      <c r="N39" s="7" t="n"/>
      <c r="O39" s="7" t="n"/>
      <c r="P39" s="7" t="n"/>
    </row>
    <row r="40">
      <c r="B40" s="42" t="n"/>
      <c r="C40" s="5">
        <f>IF(B40="","",TEXT(B40,"DDD"))</f>
        <v/>
      </c>
      <c r="D40" s="7" t="n"/>
      <c r="E40" s="7" t="n"/>
      <c r="F40" s="7" t="n"/>
      <c r="G40" s="19">
        <f>IF(E40="","",E40*IF(F40="",Admin!$C$6,F40))</f>
        <v/>
      </c>
      <c r="H40" s="7" t="n"/>
      <c r="I40" s="7" t="n"/>
      <c r="J40" s="19">
        <f>IF(H40="","",H40*IF(I40="",Admin!$C$6,I40))</f>
        <v/>
      </c>
      <c r="K40" s="7" t="n"/>
      <c r="L40" s="19">
        <f>IF(K40="","",K40*Admin!$C$6)</f>
        <v/>
      </c>
      <c r="M40" s="19">
        <f>IF(AND(G40="",J40="",L40=""),"",N(G40)+N(J40)+N(L40))</f>
        <v/>
      </c>
      <c r="N40" s="7" t="n"/>
      <c r="O40" s="7" t="n"/>
      <c r="P40" s="7" t="n"/>
    </row>
    <row r="41">
      <c r="B41" s="42" t="n"/>
      <c r="C41" s="5">
        <f>IF(B41="","",TEXT(B41,"DDD"))</f>
        <v/>
      </c>
      <c r="D41" s="7" t="n"/>
      <c r="E41" s="7" t="n"/>
      <c r="F41" s="7" t="n"/>
      <c r="G41" s="19">
        <f>IF(E41="","",E41*IF(F41="",Admin!$C$6,F41))</f>
        <v/>
      </c>
      <c r="H41" s="7" t="n"/>
      <c r="I41" s="7" t="n"/>
      <c r="J41" s="19">
        <f>IF(H41="","",H41*IF(I41="",Admin!$C$6,I41))</f>
        <v/>
      </c>
      <c r="K41" s="7" t="n"/>
      <c r="L41" s="19">
        <f>IF(K41="","",K41*Admin!$C$6)</f>
        <v/>
      </c>
      <c r="M41" s="19">
        <f>IF(AND(G41="",J41="",L41=""),"",N(G41)+N(J41)+N(L41))</f>
        <v/>
      </c>
      <c r="N41" s="7" t="n"/>
      <c r="O41" s="7" t="n"/>
      <c r="P41" s="7" t="n"/>
    </row>
    <row r="42">
      <c r="B42" s="42" t="n"/>
      <c r="C42" s="5">
        <f>IF(B42="","",TEXT(B42,"DDD"))</f>
        <v/>
      </c>
      <c r="D42" s="7" t="n"/>
      <c r="E42" s="7" t="n"/>
      <c r="F42" s="7" t="n"/>
      <c r="G42" s="19">
        <f>IF(E42="","",E42*IF(F42="",Admin!$C$6,F42))</f>
        <v/>
      </c>
      <c r="H42" s="7" t="n"/>
      <c r="I42" s="7" t="n"/>
      <c r="J42" s="19">
        <f>IF(H42="","",H42*IF(I42="",Admin!$C$6,I42))</f>
        <v/>
      </c>
      <c r="K42" s="7" t="n"/>
      <c r="L42" s="19">
        <f>IF(K42="","",K42*Admin!$C$6)</f>
        <v/>
      </c>
      <c r="M42" s="19">
        <f>IF(AND(G42="",J42="",L42=""),"",N(G42)+N(J42)+N(L42))</f>
        <v/>
      </c>
      <c r="N42" s="7" t="n"/>
      <c r="O42" s="7" t="n"/>
      <c r="P42" s="7" t="n"/>
    </row>
    <row r="43">
      <c r="B43" s="42" t="n"/>
      <c r="C43" s="5">
        <f>IF(B43="","",TEXT(B43,"DDD"))</f>
        <v/>
      </c>
      <c r="D43" s="7" t="n"/>
      <c r="E43" s="7" t="n"/>
      <c r="F43" s="7" t="n"/>
      <c r="G43" s="19">
        <f>IF(E43="","",E43*IF(F43="",Admin!$C$6,F43))</f>
        <v/>
      </c>
      <c r="H43" s="7" t="n"/>
      <c r="I43" s="7" t="n"/>
      <c r="J43" s="19">
        <f>IF(H43="","",H43*IF(I43="",Admin!$C$6,I43))</f>
        <v/>
      </c>
      <c r="K43" s="7" t="n"/>
      <c r="L43" s="19">
        <f>IF(K43="","",K43*Admin!$C$6)</f>
        <v/>
      </c>
      <c r="M43" s="19">
        <f>IF(AND(G43="",J43="",L43=""),"",N(G43)+N(J43)+N(L43))</f>
        <v/>
      </c>
      <c r="N43" s="7" t="n"/>
      <c r="O43" s="7" t="n"/>
      <c r="P43" s="7" t="n"/>
    </row>
    <row r="44">
      <c r="B44" s="42" t="n"/>
      <c r="C44" s="5">
        <f>IF(B44="","",TEXT(B44,"DDD"))</f>
        <v/>
      </c>
      <c r="D44" s="7" t="n"/>
      <c r="E44" s="7" t="n"/>
      <c r="F44" s="7" t="n"/>
      <c r="G44" s="19">
        <f>IF(E44="","",E44*IF(F44="",Admin!$C$6,F44))</f>
        <v/>
      </c>
      <c r="H44" s="7" t="n"/>
      <c r="I44" s="7" t="n"/>
      <c r="J44" s="19">
        <f>IF(H44="","",H44*IF(I44="",Admin!$C$6,I44))</f>
        <v/>
      </c>
      <c r="K44" s="7" t="n"/>
      <c r="L44" s="19">
        <f>IF(K44="","",K44*Admin!$C$6)</f>
        <v/>
      </c>
      <c r="M44" s="19">
        <f>IF(AND(G44="",J44="",L44=""),"",N(G44)+N(J44)+N(L44))</f>
        <v/>
      </c>
      <c r="N44" s="7" t="n"/>
      <c r="O44" s="7" t="n"/>
      <c r="P44" s="7" t="n"/>
    </row>
    <row r="45">
      <c r="B45" s="42" t="n"/>
      <c r="C45" s="5">
        <f>IF(B45="","",TEXT(B45,"DDD"))</f>
        <v/>
      </c>
      <c r="D45" s="7" t="n"/>
      <c r="E45" s="7" t="n"/>
      <c r="F45" s="7" t="n"/>
      <c r="G45" s="19">
        <f>IF(E45="","",E45*IF(F45="",Admin!$C$6,F45))</f>
        <v/>
      </c>
      <c r="H45" s="7" t="n"/>
      <c r="I45" s="7" t="n"/>
      <c r="J45" s="19">
        <f>IF(H45="","",H45*IF(I45="",Admin!$C$6,I45))</f>
        <v/>
      </c>
      <c r="K45" s="7" t="n"/>
      <c r="L45" s="19">
        <f>IF(K45="","",K45*Admin!$C$6)</f>
        <v/>
      </c>
      <c r="M45" s="19">
        <f>IF(AND(G45="",J45="",L45=""),"",N(G45)+N(J45)+N(L45))</f>
        <v/>
      </c>
      <c r="N45" s="7" t="n"/>
      <c r="O45" s="7" t="n"/>
      <c r="P45" s="7" t="n"/>
    </row>
    <row r="46">
      <c r="B46" s="42" t="n"/>
      <c r="C46" s="5">
        <f>IF(B46="","",TEXT(B46,"DDD"))</f>
        <v/>
      </c>
      <c r="D46" s="7" t="n"/>
      <c r="E46" s="7" t="n"/>
      <c r="F46" s="7" t="n"/>
      <c r="G46" s="19">
        <f>IF(E46="","",E46*IF(F46="",Admin!$C$6,F46))</f>
        <v/>
      </c>
      <c r="H46" s="7" t="n"/>
      <c r="I46" s="7" t="n"/>
      <c r="J46" s="19">
        <f>IF(H46="","",H46*IF(I46="",Admin!$C$6,I46))</f>
        <v/>
      </c>
      <c r="K46" s="7" t="n"/>
      <c r="L46" s="19">
        <f>IF(K46="","",K46*Admin!$C$6)</f>
        <v/>
      </c>
      <c r="M46" s="19">
        <f>IF(AND(G46="",J46="",L46=""),"",N(G46)+N(J46)+N(L46))</f>
        <v/>
      </c>
      <c r="N46" s="7" t="n"/>
      <c r="O46" s="7" t="n"/>
      <c r="P46" s="7" t="n"/>
    </row>
    <row r="47">
      <c r="B47" s="42" t="n"/>
      <c r="C47" s="5">
        <f>IF(B47="","",TEXT(B47,"DDD"))</f>
        <v/>
      </c>
      <c r="D47" s="7" t="n"/>
      <c r="E47" s="7" t="n"/>
      <c r="F47" s="7" t="n"/>
      <c r="G47" s="19">
        <f>IF(E47="","",E47*IF(F47="",Admin!$C$6,F47))</f>
        <v/>
      </c>
      <c r="H47" s="7" t="n"/>
      <c r="I47" s="7" t="n"/>
      <c r="J47" s="19">
        <f>IF(H47="","",H47*IF(I47="",Admin!$C$6,I47))</f>
        <v/>
      </c>
      <c r="K47" s="7" t="n"/>
      <c r="L47" s="19">
        <f>IF(K47="","",K47*Admin!$C$6)</f>
        <v/>
      </c>
      <c r="M47" s="19">
        <f>IF(AND(G47="",J47="",L47=""),"",N(G47)+N(J47)+N(L47))</f>
        <v/>
      </c>
      <c r="N47" s="7" t="n"/>
      <c r="O47" s="7" t="n"/>
      <c r="P47" s="7" t="n"/>
    </row>
    <row r="48">
      <c r="B48" s="42" t="n"/>
      <c r="C48" s="5">
        <f>IF(B48="","",TEXT(B48,"DDD"))</f>
        <v/>
      </c>
      <c r="D48" s="7" t="n"/>
      <c r="E48" s="7" t="n"/>
      <c r="F48" s="7" t="n"/>
      <c r="G48" s="19">
        <f>IF(E48="","",E48*IF(F48="",Admin!$C$6,F48))</f>
        <v/>
      </c>
      <c r="H48" s="7" t="n"/>
      <c r="I48" s="7" t="n"/>
      <c r="J48" s="19">
        <f>IF(H48="","",H48*IF(I48="",Admin!$C$6,I48))</f>
        <v/>
      </c>
      <c r="K48" s="7" t="n"/>
      <c r="L48" s="19">
        <f>IF(K48="","",K48*Admin!$C$6)</f>
        <v/>
      </c>
      <c r="M48" s="19">
        <f>IF(AND(G48="",J48="",L48=""),"",N(G48)+N(J48)+N(L48))</f>
        <v/>
      </c>
      <c r="N48" s="7" t="n"/>
      <c r="O48" s="7" t="n"/>
      <c r="P48" s="7" t="n"/>
    </row>
    <row r="49">
      <c r="B49" s="42" t="n"/>
      <c r="C49" s="5">
        <f>IF(B49="","",TEXT(B49,"DDD"))</f>
        <v/>
      </c>
      <c r="D49" s="7" t="n"/>
      <c r="E49" s="7" t="n"/>
      <c r="F49" s="7" t="n"/>
      <c r="G49" s="19">
        <f>IF(E49="","",E49*IF(F49="",Admin!$C$6,F49))</f>
        <v/>
      </c>
      <c r="H49" s="7" t="n"/>
      <c r="I49" s="7" t="n"/>
      <c r="J49" s="19">
        <f>IF(H49="","",H49*IF(I49="",Admin!$C$6,I49))</f>
        <v/>
      </c>
      <c r="K49" s="7" t="n"/>
      <c r="L49" s="19">
        <f>IF(K49="","",K49*Admin!$C$6)</f>
        <v/>
      </c>
      <c r="M49" s="19">
        <f>IF(AND(G49="",J49="",L49=""),"",N(G49)+N(J49)+N(L49))</f>
        <v/>
      </c>
      <c r="N49" s="7" t="n"/>
      <c r="O49" s="7" t="n"/>
      <c r="P49" s="7" t="n"/>
    </row>
    <row r="50">
      <c r="B50" s="42" t="n"/>
      <c r="C50" s="5">
        <f>IF(B50="","",TEXT(B50,"DDD"))</f>
        <v/>
      </c>
      <c r="D50" s="7" t="n"/>
      <c r="E50" s="7" t="n"/>
      <c r="F50" s="7" t="n"/>
      <c r="G50" s="19">
        <f>IF(E50="","",E50*IF(F50="",Admin!$C$6,F50))</f>
        <v/>
      </c>
      <c r="H50" s="7" t="n"/>
      <c r="I50" s="7" t="n"/>
      <c r="J50" s="19">
        <f>IF(H50="","",H50*IF(I50="",Admin!$C$6,I50))</f>
        <v/>
      </c>
      <c r="K50" s="7" t="n"/>
      <c r="L50" s="19">
        <f>IF(K50="","",K50*Admin!$C$6)</f>
        <v/>
      </c>
      <c r="M50" s="19">
        <f>IF(AND(G50="",J50="",L50=""),"",N(G50)+N(J50)+N(L50))</f>
        <v/>
      </c>
      <c r="N50" s="7" t="n"/>
      <c r="O50" s="7" t="n"/>
      <c r="P50" s="7" t="n"/>
    </row>
    <row r="51">
      <c r="B51" s="42" t="n"/>
      <c r="C51" s="5">
        <f>IF(B51="","",TEXT(B51,"DDD"))</f>
        <v/>
      </c>
      <c r="D51" s="7" t="n"/>
      <c r="E51" s="7" t="n"/>
      <c r="F51" s="7" t="n"/>
      <c r="G51" s="19">
        <f>IF(E51="","",E51*IF(F51="",Admin!$C$6,F51))</f>
        <v/>
      </c>
      <c r="H51" s="7" t="n"/>
      <c r="I51" s="7" t="n"/>
      <c r="J51" s="19">
        <f>IF(H51="","",H51*IF(I51="",Admin!$C$6,I51))</f>
        <v/>
      </c>
      <c r="K51" s="7" t="n"/>
      <c r="L51" s="19">
        <f>IF(K51="","",K51*Admin!$C$6)</f>
        <v/>
      </c>
      <c r="M51" s="19">
        <f>IF(AND(G51="",J51="",L51=""),"",N(G51)+N(J51)+N(L51))</f>
        <v/>
      </c>
      <c r="N51" s="7" t="n"/>
      <c r="O51" s="7" t="n"/>
      <c r="P51" s="7" t="n"/>
    </row>
    <row r="52">
      <c r="B52" s="42" t="n"/>
      <c r="C52" s="5">
        <f>IF(B52="","",TEXT(B52,"DDD"))</f>
        <v/>
      </c>
      <c r="D52" s="7" t="n"/>
      <c r="E52" s="7" t="n"/>
      <c r="F52" s="7" t="n"/>
      <c r="G52" s="19">
        <f>IF(E52="","",E52*IF(F52="",Admin!$C$6,F52))</f>
        <v/>
      </c>
      <c r="H52" s="7" t="n"/>
      <c r="I52" s="7" t="n"/>
      <c r="J52" s="19">
        <f>IF(H52="","",H52*IF(I52="",Admin!$C$6,I52))</f>
        <v/>
      </c>
      <c r="K52" s="7" t="n"/>
      <c r="L52" s="19">
        <f>IF(K52="","",K52*Admin!$C$6)</f>
        <v/>
      </c>
      <c r="M52" s="19">
        <f>IF(AND(G52="",J52="",L52=""),"",N(G52)+N(J52)+N(L52))</f>
        <v/>
      </c>
      <c r="N52" s="7" t="n"/>
      <c r="O52" s="7" t="n"/>
      <c r="P52" s="7" t="n"/>
    </row>
    <row r="53">
      <c r="B53" s="42" t="n"/>
      <c r="C53" s="5">
        <f>IF(B53="","",TEXT(B53,"DDD"))</f>
        <v/>
      </c>
      <c r="D53" s="7" t="n"/>
      <c r="E53" s="7" t="n"/>
      <c r="F53" s="7" t="n"/>
      <c r="G53" s="19">
        <f>IF(E53="","",E53*IF(F53="",Admin!$C$6,F53))</f>
        <v/>
      </c>
      <c r="H53" s="7" t="n"/>
      <c r="I53" s="7" t="n"/>
      <c r="J53" s="19">
        <f>IF(H53="","",H53*IF(I53="",Admin!$C$6,I53))</f>
        <v/>
      </c>
      <c r="K53" s="7" t="n"/>
      <c r="L53" s="19">
        <f>IF(K53="","",K53*Admin!$C$6)</f>
        <v/>
      </c>
      <c r="M53" s="19">
        <f>IF(AND(G53="",J53="",L53=""),"",N(G53)+N(J53)+N(L53))</f>
        <v/>
      </c>
      <c r="N53" s="7" t="n"/>
      <c r="O53" s="7" t="n"/>
      <c r="P53" s="7" t="n"/>
    </row>
    <row r="54">
      <c r="B54" s="42" t="n"/>
      <c r="C54" s="5">
        <f>IF(B54="","",TEXT(B54,"DDD"))</f>
        <v/>
      </c>
      <c r="D54" s="7" t="n"/>
      <c r="E54" s="7" t="n"/>
      <c r="F54" s="7" t="n"/>
      <c r="G54" s="19">
        <f>IF(E54="","",E54*IF(F54="",Admin!$C$6,F54))</f>
        <v/>
      </c>
      <c r="H54" s="7" t="n"/>
      <c r="I54" s="7" t="n"/>
      <c r="J54" s="19">
        <f>IF(H54="","",H54*IF(I54="",Admin!$C$6,I54))</f>
        <v/>
      </c>
      <c r="K54" s="7" t="n"/>
      <c r="L54" s="19">
        <f>IF(K54="","",K54*Admin!$C$6)</f>
        <v/>
      </c>
      <c r="M54" s="19">
        <f>IF(AND(G54="",J54="",L54=""),"",N(G54)+N(J54)+N(L54))</f>
        <v/>
      </c>
      <c r="N54" s="7" t="n"/>
      <c r="O54" s="7" t="n"/>
      <c r="P54" s="7" t="n"/>
    </row>
    <row r="55">
      <c r="B55" s="42" t="n"/>
      <c r="C55" s="5">
        <f>IF(B55="","",TEXT(B55,"DDD"))</f>
        <v/>
      </c>
      <c r="D55" s="7" t="n"/>
      <c r="E55" s="7" t="n"/>
      <c r="F55" s="7" t="n"/>
      <c r="G55" s="19">
        <f>IF(E55="","",E55*IF(F55="",Admin!$C$6,F55))</f>
        <v/>
      </c>
      <c r="H55" s="7" t="n"/>
      <c r="I55" s="7" t="n"/>
      <c r="J55" s="19">
        <f>IF(H55="","",H55*IF(I55="",Admin!$C$6,I55))</f>
        <v/>
      </c>
      <c r="K55" s="7" t="n"/>
      <c r="L55" s="19">
        <f>IF(K55="","",K55*Admin!$C$6)</f>
        <v/>
      </c>
      <c r="M55" s="19">
        <f>IF(AND(G55="",J55="",L55=""),"",N(G55)+N(J55)+N(L55))</f>
        <v/>
      </c>
      <c r="N55" s="7" t="n"/>
      <c r="O55" s="7" t="n"/>
      <c r="P55" s="7" t="n"/>
    </row>
    <row r="56">
      <c r="B56" s="42" t="n"/>
      <c r="C56" s="5">
        <f>IF(B56="","",TEXT(B56,"DDD"))</f>
        <v/>
      </c>
      <c r="D56" s="7" t="n"/>
      <c r="E56" s="7" t="n"/>
      <c r="F56" s="7" t="n"/>
      <c r="G56" s="19">
        <f>IF(E56="","",E56*IF(F56="",Admin!$C$6,F56))</f>
        <v/>
      </c>
      <c r="H56" s="7" t="n"/>
      <c r="I56" s="7" t="n"/>
      <c r="J56" s="19">
        <f>IF(H56="","",H56*IF(I56="",Admin!$C$6,I56))</f>
        <v/>
      </c>
      <c r="K56" s="7" t="n"/>
      <c r="L56" s="19">
        <f>IF(K56="","",K56*Admin!$C$6)</f>
        <v/>
      </c>
      <c r="M56" s="19">
        <f>IF(AND(G56="",J56="",L56=""),"",N(G56)+N(J56)+N(L56))</f>
        <v/>
      </c>
      <c r="N56" s="7" t="n"/>
      <c r="O56" s="7" t="n"/>
      <c r="P56" s="7" t="n"/>
    </row>
    <row r="57">
      <c r="B57" s="42" t="n"/>
      <c r="C57" s="5">
        <f>IF(B57="","",TEXT(B57,"DDD"))</f>
        <v/>
      </c>
      <c r="D57" s="7" t="n"/>
      <c r="E57" s="7" t="n"/>
      <c r="F57" s="7" t="n"/>
      <c r="G57" s="19">
        <f>IF(E57="","",E57*IF(F57="",Admin!$C$6,F57))</f>
        <v/>
      </c>
      <c r="H57" s="7" t="n"/>
      <c r="I57" s="7" t="n"/>
      <c r="J57" s="19">
        <f>IF(H57="","",H57*IF(I57="",Admin!$C$6,I57))</f>
        <v/>
      </c>
      <c r="K57" s="7" t="n"/>
      <c r="L57" s="19">
        <f>IF(K57="","",K57*Admin!$C$6)</f>
        <v/>
      </c>
      <c r="M57" s="19">
        <f>IF(AND(G57="",J57="",L57=""),"",N(G57)+N(J57)+N(L57))</f>
        <v/>
      </c>
      <c r="N57" s="7" t="n"/>
      <c r="O57" s="7" t="n"/>
      <c r="P57" s="7" t="n"/>
    </row>
    <row r="58">
      <c r="B58" s="42" t="n"/>
      <c r="C58" s="5">
        <f>IF(B58="","",TEXT(B58,"DDD"))</f>
        <v/>
      </c>
      <c r="D58" s="7" t="n"/>
      <c r="E58" s="7" t="n"/>
      <c r="F58" s="7" t="n"/>
      <c r="G58" s="19">
        <f>IF(E58="","",E58*IF(F58="",Admin!$C$6,F58))</f>
        <v/>
      </c>
      <c r="H58" s="7" t="n"/>
      <c r="I58" s="7" t="n"/>
      <c r="J58" s="19">
        <f>IF(H58="","",H58*IF(I58="",Admin!$C$6,I58))</f>
        <v/>
      </c>
      <c r="K58" s="7" t="n"/>
      <c r="L58" s="19">
        <f>IF(K58="","",K58*Admin!$C$6)</f>
        <v/>
      </c>
      <c r="M58" s="19">
        <f>IF(AND(G58="",J58="",L58=""),"",N(G58)+N(J58)+N(L58))</f>
        <v/>
      </c>
      <c r="N58" s="7" t="n"/>
      <c r="O58" s="7" t="n"/>
      <c r="P58" s="7" t="n"/>
    </row>
    <row r="59">
      <c r="B59" s="42" t="n"/>
      <c r="C59" s="5">
        <f>IF(B59="","",TEXT(B59,"DDD"))</f>
        <v/>
      </c>
      <c r="D59" s="7" t="n"/>
      <c r="E59" s="7" t="n"/>
      <c r="F59" s="7" t="n"/>
      <c r="G59" s="19">
        <f>IF(E59="","",E59*IF(F59="",Admin!$C$6,F59))</f>
        <v/>
      </c>
      <c r="H59" s="7" t="n"/>
      <c r="I59" s="7" t="n"/>
      <c r="J59" s="19">
        <f>IF(H59="","",H59*IF(I59="",Admin!$C$6,I59))</f>
        <v/>
      </c>
      <c r="K59" s="7" t="n"/>
      <c r="L59" s="19">
        <f>IF(K59="","",K59*Admin!$C$6)</f>
        <v/>
      </c>
      <c r="M59" s="19">
        <f>IF(AND(G59="",J59="",L59=""),"",N(G59)+N(J59)+N(L59))</f>
        <v/>
      </c>
      <c r="N59" s="7" t="n"/>
      <c r="O59" s="7" t="n"/>
      <c r="P59" s="7" t="n"/>
    </row>
    <row r="60">
      <c r="B60" s="42" t="n"/>
      <c r="C60" s="5">
        <f>IF(B60="","",TEXT(B60,"DDD"))</f>
        <v/>
      </c>
      <c r="D60" s="7" t="n"/>
      <c r="E60" s="7" t="n"/>
      <c r="F60" s="7" t="n"/>
      <c r="G60" s="19">
        <f>IF(E60="","",E60*IF(F60="",Admin!$C$6,F60))</f>
        <v/>
      </c>
      <c r="H60" s="7" t="n"/>
      <c r="I60" s="7" t="n"/>
      <c r="J60" s="19">
        <f>IF(H60="","",H60*IF(I60="",Admin!$C$6,I60))</f>
        <v/>
      </c>
      <c r="K60" s="7" t="n"/>
      <c r="L60" s="19">
        <f>IF(K60="","",K60*Admin!$C$6)</f>
        <v/>
      </c>
      <c r="M60" s="19">
        <f>IF(AND(G60="",J60="",L60=""),"",N(G60)+N(J60)+N(L60))</f>
        <v/>
      </c>
      <c r="N60" s="7" t="n"/>
      <c r="O60" s="7" t="n"/>
      <c r="P60" s="7" t="n"/>
    </row>
    <row r="61">
      <c r="B61" s="42" t="n"/>
      <c r="C61" s="5">
        <f>IF(B61="","",TEXT(B61,"DDD"))</f>
        <v/>
      </c>
      <c r="D61" s="7" t="n"/>
      <c r="E61" s="7" t="n"/>
      <c r="F61" s="7" t="n"/>
      <c r="G61" s="19">
        <f>IF(E61="","",E61*IF(F61="",Admin!$C$6,F61))</f>
        <v/>
      </c>
      <c r="H61" s="7" t="n"/>
      <c r="I61" s="7" t="n"/>
      <c r="J61" s="19">
        <f>IF(H61="","",H61*IF(I61="",Admin!$C$6,I61))</f>
        <v/>
      </c>
      <c r="K61" s="7" t="n"/>
      <c r="L61" s="19">
        <f>IF(K61="","",K61*Admin!$C$6)</f>
        <v/>
      </c>
      <c r="M61" s="19">
        <f>IF(AND(G61="",J61="",L61=""),"",N(G61)+N(J61)+N(L61))</f>
        <v/>
      </c>
      <c r="N61" s="7" t="n"/>
      <c r="O61" s="7" t="n"/>
      <c r="P61" s="7" t="n"/>
    </row>
    <row r="62">
      <c r="B62" s="42" t="n"/>
      <c r="C62" s="5">
        <f>IF(B62="","",TEXT(B62,"DDD"))</f>
        <v/>
      </c>
      <c r="D62" s="7" t="n"/>
      <c r="E62" s="7" t="n"/>
      <c r="F62" s="7" t="n"/>
      <c r="G62" s="19">
        <f>IF(E62="","",E62*IF(F62="",Admin!$C$6,F62))</f>
        <v/>
      </c>
      <c r="H62" s="7" t="n"/>
      <c r="I62" s="7" t="n"/>
      <c r="J62" s="19">
        <f>IF(H62="","",H62*IF(I62="",Admin!$C$6,I62))</f>
        <v/>
      </c>
      <c r="K62" s="7" t="n"/>
      <c r="L62" s="19">
        <f>IF(K62="","",K62*Admin!$C$6)</f>
        <v/>
      </c>
      <c r="M62" s="19">
        <f>IF(AND(G62="",J62="",L62=""),"",N(G62)+N(J62)+N(L62))</f>
        <v/>
      </c>
      <c r="N62" s="7" t="n"/>
      <c r="O62" s="7" t="n"/>
      <c r="P62" s="7" t="n"/>
    </row>
    <row r="63">
      <c r="B63" s="42" t="n"/>
      <c r="C63" s="5">
        <f>IF(B63="","",TEXT(B63,"DDD"))</f>
        <v/>
      </c>
      <c r="D63" s="7" t="n"/>
      <c r="E63" s="7" t="n"/>
      <c r="F63" s="7" t="n"/>
      <c r="G63" s="19">
        <f>IF(E63="","",E63*IF(F63="",Admin!$C$6,F63))</f>
        <v/>
      </c>
      <c r="H63" s="7" t="n"/>
      <c r="I63" s="7" t="n"/>
      <c r="J63" s="19">
        <f>IF(H63="","",H63*IF(I63="",Admin!$C$6,I63))</f>
        <v/>
      </c>
      <c r="K63" s="7" t="n"/>
      <c r="L63" s="19">
        <f>IF(K63="","",K63*Admin!$C$6)</f>
        <v/>
      </c>
      <c r="M63" s="19">
        <f>IF(AND(G63="",J63="",L63=""),"",N(G63)+N(J63)+N(L63))</f>
        <v/>
      </c>
      <c r="N63" s="7" t="n"/>
      <c r="O63" s="7" t="n"/>
      <c r="P63" s="7" t="n"/>
    </row>
    <row r="64">
      <c r="B64" s="42" t="n"/>
      <c r="C64" s="5">
        <f>IF(B64="","",TEXT(B64,"DDD"))</f>
        <v/>
      </c>
      <c r="D64" s="7" t="n"/>
      <c r="E64" s="7" t="n"/>
      <c r="F64" s="7" t="n"/>
      <c r="G64" s="19">
        <f>IF(E64="","",E64*IF(F64="",Admin!$C$6,F64))</f>
        <v/>
      </c>
      <c r="H64" s="7" t="n"/>
      <c r="I64" s="7" t="n"/>
      <c r="J64" s="19">
        <f>IF(H64="","",H64*IF(I64="",Admin!$C$6,I64))</f>
        <v/>
      </c>
      <c r="K64" s="7" t="n"/>
      <c r="L64" s="19">
        <f>IF(K64="","",K64*Admin!$C$6)</f>
        <v/>
      </c>
      <c r="M64" s="19">
        <f>IF(AND(G64="",J64="",L64=""),"",N(G64)+N(J64)+N(L64))</f>
        <v/>
      </c>
      <c r="N64" s="7" t="n"/>
      <c r="O64" s="7" t="n"/>
      <c r="P64" s="7" t="n"/>
    </row>
    <row r="65">
      <c r="B65" s="42" t="n"/>
      <c r="C65" s="5">
        <f>IF(B65="","",TEXT(B65,"DDD"))</f>
        <v/>
      </c>
      <c r="D65" s="7" t="n"/>
      <c r="E65" s="7" t="n"/>
      <c r="F65" s="7" t="n"/>
      <c r="G65" s="19">
        <f>IF(E65="","",E65*IF(F65="",Admin!$C$6,F65))</f>
        <v/>
      </c>
      <c r="H65" s="7" t="n"/>
      <c r="I65" s="7" t="n"/>
      <c r="J65" s="19">
        <f>IF(H65="","",H65*IF(I65="",Admin!$C$6,I65))</f>
        <v/>
      </c>
      <c r="K65" s="7" t="n"/>
      <c r="L65" s="19">
        <f>IF(K65="","",K65*Admin!$C$6)</f>
        <v/>
      </c>
      <c r="M65" s="19">
        <f>IF(AND(G65="",J65="",L65=""),"",N(G65)+N(J65)+N(L65))</f>
        <v/>
      </c>
      <c r="N65" s="7" t="n"/>
      <c r="O65" s="7" t="n"/>
      <c r="P65" s="7" t="n"/>
    </row>
    <row r="66">
      <c r="B66" s="42" t="n"/>
      <c r="C66" s="5">
        <f>IF(B66="","",TEXT(B66,"DDD"))</f>
        <v/>
      </c>
      <c r="D66" s="7" t="n"/>
      <c r="E66" s="7" t="n"/>
      <c r="F66" s="7" t="n"/>
      <c r="G66" s="19">
        <f>IF(E66="","",E66*IF(F66="",Admin!$C$6,F66))</f>
        <v/>
      </c>
      <c r="H66" s="7" t="n"/>
      <c r="I66" s="7" t="n"/>
      <c r="J66" s="19">
        <f>IF(H66="","",H66*IF(I66="",Admin!$C$6,I66))</f>
        <v/>
      </c>
      <c r="K66" s="7" t="n"/>
      <c r="L66" s="19">
        <f>IF(K66="","",K66*Admin!$C$6)</f>
        <v/>
      </c>
      <c r="M66" s="19">
        <f>IF(AND(G66="",J66="",L66=""),"",N(G66)+N(J66)+N(L66))</f>
        <v/>
      </c>
      <c r="N66" s="7" t="n"/>
      <c r="O66" s="7" t="n"/>
      <c r="P66" s="7" t="n"/>
    </row>
    <row r="67">
      <c r="B67" s="42" t="n"/>
      <c r="C67" s="5">
        <f>IF(B67="","",TEXT(B67,"DDD"))</f>
        <v/>
      </c>
      <c r="D67" s="7" t="n"/>
      <c r="E67" s="7" t="n"/>
      <c r="F67" s="7" t="n"/>
      <c r="G67" s="19">
        <f>IF(E67="","",E67*IF(F67="",Admin!$C$6,F67))</f>
        <v/>
      </c>
      <c r="H67" s="7" t="n"/>
      <c r="I67" s="7" t="n"/>
      <c r="J67" s="19">
        <f>IF(H67="","",H67*IF(I67="",Admin!$C$6,I67))</f>
        <v/>
      </c>
      <c r="K67" s="7" t="n"/>
      <c r="L67" s="19">
        <f>IF(K67="","",K67*Admin!$C$6)</f>
        <v/>
      </c>
      <c r="M67" s="19">
        <f>IF(AND(G67="",J67="",L67=""),"",N(G67)+N(J67)+N(L67))</f>
        <v/>
      </c>
      <c r="N67" s="7" t="n"/>
      <c r="O67" s="7" t="n"/>
      <c r="P67" s="7" t="n"/>
    </row>
    <row r="68">
      <c r="B68" s="42" t="n"/>
      <c r="C68" s="5">
        <f>IF(B68="","",TEXT(B68,"DDD"))</f>
        <v/>
      </c>
      <c r="D68" s="7" t="n"/>
      <c r="E68" s="7" t="n"/>
      <c r="F68" s="7" t="n"/>
      <c r="G68" s="19">
        <f>IF(E68="","",E68*IF(F68="",Admin!$C$6,F68))</f>
        <v/>
      </c>
      <c r="H68" s="7" t="n"/>
      <c r="I68" s="7" t="n"/>
      <c r="J68" s="19">
        <f>IF(H68="","",H68*IF(I68="",Admin!$C$6,I68))</f>
        <v/>
      </c>
      <c r="K68" s="7" t="n"/>
      <c r="L68" s="19">
        <f>IF(K68="","",K68*Admin!$C$6)</f>
        <v/>
      </c>
      <c r="M68" s="19">
        <f>IF(AND(G68="",J68="",L68=""),"",N(G68)+N(J68)+N(L68))</f>
        <v/>
      </c>
      <c r="N68" s="7" t="n"/>
      <c r="O68" s="7" t="n"/>
      <c r="P68" s="7" t="n"/>
    </row>
    <row r="69">
      <c r="B69" s="42" t="n"/>
      <c r="C69" s="5">
        <f>IF(B69="","",TEXT(B69,"DDD"))</f>
        <v/>
      </c>
      <c r="D69" s="7" t="n"/>
      <c r="E69" s="7" t="n"/>
      <c r="F69" s="7" t="n"/>
      <c r="G69" s="19">
        <f>IF(E69="","",E69*IF(F69="",Admin!$C$6,F69))</f>
        <v/>
      </c>
      <c r="H69" s="7" t="n"/>
      <c r="I69" s="7" t="n"/>
      <c r="J69" s="19">
        <f>IF(H69="","",H69*IF(I69="",Admin!$C$6,I69))</f>
        <v/>
      </c>
      <c r="K69" s="7" t="n"/>
      <c r="L69" s="19">
        <f>IF(K69="","",K69*Admin!$C$6)</f>
        <v/>
      </c>
      <c r="M69" s="19">
        <f>IF(AND(G69="",J69="",L69=""),"",N(G69)+N(J69)+N(L69))</f>
        <v/>
      </c>
      <c r="N69" s="7" t="n"/>
      <c r="O69" s="7" t="n"/>
      <c r="P69" s="7" t="n"/>
    </row>
    <row r="70">
      <c r="B70" s="42" t="n"/>
      <c r="C70" s="5">
        <f>IF(B70="","",TEXT(B70,"DDD"))</f>
        <v/>
      </c>
      <c r="D70" s="7" t="n"/>
      <c r="E70" s="7" t="n"/>
      <c r="F70" s="7" t="n"/>
      <c r="G70" s="19">
        <f>IF(E70="","",E70*IF(F70="",Admin!$C$6,F70))</f>
        <v/>
      </c>
      <c r="H70" s="7" t="n"/>
      <c r="I70" s="7" t="n"/>
      <c r="J70" s="19">
        <f>IF(H70="","",H70*IF(I70="",Admin!$C$6,I70))</f>
        <v/>
      </c>
      <c r="K70" s="7" t="n"/>
      <c r="L70" s="19">
        <f>IF(K70="","",K70*Admin!$C$6)</f>
        <v/>
      </c>
      <c r="M70" s="19">
        <f>IF(AND(G70="",J70="",L70=""),"",N(G70)+N(J70)+N(L70))</f>
        <v/>
      </c>
      <c r="N70" s="7" t="n"/>
      <c r="O70" s="7" t="n"/>
      <c r="P70" s="7" t="n"/>
    </row>
    <row r="71">
      <c r="B71" s="42" t="n"/>
      <c r="C71" s="5">
        <f>IF(B71="","",TEXT(B71,"DDD"))</f>
        <v/>
      </c>
      <c r="D71" s="7" t="n"/>
      <c r="E71" s="7" t="n"/>
      <c r="F71" s="7" t="n"/>
      <c r="G71" s="19">
        <f>IF(E71="","",E71*IF(F71="",Admin!$C$6,F71))</f>
        <v/>
      </c>
      <c r="H71" s="7" t="n"/>
      <c r="I71" s="7" t="n"/>
      <c r="J71" s="19">
        <f>IF(H71="","",H71*IF(I71="",Admin!$C$6,I71))</f>
        <v/>
      </c>
      <c r="K71" s="7" t="n"/>
      <c r="L71" s="19">
        <f>IF(K71="","",K71*Admin!$C$6)</f>
        <v/>
      </c>
      <c r="M71" s="19">
        <f>IF(AND(G71="",J71="",L71=""),"",N(G71)+N(J71)+N(L71))</f>
        <v/>
      </c>
      <c r="N71" s="7" t="n"/>
      <c r="O71" s="7" t="n"/>
      <c r="P71" s="7" t="n"/>
    </row>
    <row r="72">
      <c r="B72" s="42" t="n"/>
      <c r="C72" s="5">
        <f>IF(B72="","",TEXT(B72,"DDD"))</f>
        <v/>
      </c>
      <c r="D72" s="7" t="n"/>
      <c r="E72" s="7" t="n"/>
      <c r="F72" s="7" t="n"/>
      <c r="G72" s="19">
        <f>IF(E72="","",E72*IF(F72="",Admin!$C$6,F72))</f>
        <v/>
      </c>
      <c r="H72" s="7" t="n"/>
      <c r="I72" s="7" t="n"/>
      <c r="J72" s="19">
        <f>IF(H72="","",H72*IF(I72="",Admin!$C$6,I72))</f>
        <v/>
      </c>
      <c r="K72" s="7" t="n"/>
      <c r="L72" s="19">
        <f>IF(K72="","",K72*Admin!$C$6)</f>
        <v/>
      </c>
      <c r="M72" s="19">
        <f>IF(AND(G72="",J72="",L72=""),"",N(G72)+N(J72)+N(L72))</f>
        <v/>
      </c>
      <c r="N72" s="7" t="n"/>
      <c r="O72" s="7" t="n"/>
      <c r="P72" s="7" t="n"/>
    </row>
    <row r="73">
      <c r="B73" s="42" t="n"/>
      <c r="C73" s="5">
        <f>IF(B73="","",TEXT(B73,"DDD"))</f>
        <v/>
      </c>
      <c r="D73" s="7" t="n"/>
      <c r="E73" s="7" t="n"/>
      <c r="F73" s="7" t="n"/>
      <c r="G73" s="19">
        <f>IF(E73="","",E73*IF(F73="",Admin!$C$6,F73))</f>
        <v/>
      </c>
      <c r="H73" s="7" t="n"/>
      <c r="I73" s="7" t="n"/>
      <c r="J73" s="19">
        <f>IF(H73="","",H73*IF(I73="",Admin!$C$6,I73))</f>
        <v/>
      </c>
      <c r="K73" s="7" t="n"/>
      <c r="L73" s="19">
        <f>IF(K73="","",K73*Admin!$C$6)</f>
        <v/>
      </c>
      <c r="M73" s="19">
        <f>IF(AND(G73="",J73="",L73=""),"",N(G73)+N(J73)+N(L73))</f>
        <v/>
      </c>
      <c r="N73" s="7" t="n"/>
      <c r="O73" s="7" t="n"/>
      <c r="P73" s="7" t="n"/>
    </row>
    <row r="74">
      <c r="B74" s="42" t="n"/>
      <c r="C74" s="5">
        <f>IF(B74="","",TEXT(B74,"DDD"))</f>
        <v/>
      </c>
      <c r="D74" s="7" t="n"/>
      <c r="E74" s="7" t="n"/>
      <c r="F74" s="7" t="n"/>
      <c r="G74" s="19">
        <f>IF(E74="","",E74*IF(F74="",Admin!$C$6,F74))</f>
        <v/>
      </c>
      <c r="H74" s="7" t="n"/>
      <c r="I74" s="7" t="n"/>
      <c r="J74" s="19">
        <f>IF(H74="","",H74*IF(I74="",Admin!$C$6,I74))</f>
        <v/>
      </c>
      <c r="K74" s="7" t="n"/>
      <c r="L74" s="19">
        <f>IF(K74="","",K74*Admin!$C$6)</f>
        <v/>
      </c>
      <c r="M74" s="19">
        <f>IF(AND(G74="",J74="",L74=""),"",N(G74)+N(J74)+N(L74))</f>
        <v/>
      </c>
      <c r="N74" s="7" t="n"/>
      <c r="O74" s="7" t="n"/>
      <c r="P74" s="7" t="n"/>
    </row>
    <row r="75">
      <c r="B75" s="42" t="n"/>
      <c r="C75" s="5">
        <f>IF(B75="","",TEXT(B75,"DDD"))</f>
        <v/>
      </c>
      <c r="D75" s="7" t="n"/>
      <c r="E75" s="7" t="n"/>
      <c r="F75" s="7" t="n"/>
      <c r="G75" s="19">
        <f>IF(E75="","",E75*IF(F75="",Admin!$C$6,F75))</f>
        <v/>
      </c>
      <c r="H75" s="7" t="n"/>
      <c r="I75" s="7" t="n"/>
      <c r="J75" s="19">
        <f>IF(H75="","",H75*IF(I75="",Admin!$C$6,I75))</f>
        <v/>
      </c>
      <c r="K75" s="7" t="n"/>
      <c r="L75" s="19">
        <f>IF(K75="","",K75*Admin!$C$6)</f>
        <v/>
      </c>
      <c r="M75" s="19">
        <f>IF(AND(G75="",J75="",L75=""),"",N(G75)+N(J75)+N(L75))</f>
        <v/>
      </c>
      <c r="N75" s="7" t="n"/>
      <c r="O75" s="7" t="n"/>
      <c r="P75" s="7" t="n"/>
    </row>
    <row r="76">
      <c r="B76" s="42" t="n"/>
      <c r="C76" s="5">
        <f>IF(B76="","",TEXT(B76,"DDD"))</f>
        <v/>
      </c>
      <c r="D76" s="7" t="n"/>
      <c r="E76" s="7" t="n"/>
      <c r="F76" s="7" t="n"/>
      <c r="G76" s="19">
        <f>IF(E76="","",E76*IF(F76="",Admin!$C$6,F76))</f>
        <v/>
      </c>
      <c r="H76" s="7" t="n"/>
      <c r="I76" s="7" t="n"/>
      <c r="J76" s="19">
        <f>IF(H76="","",H76*IF(I76="",Admin!$C$6,I76))</f>
        <v/>
      </c>
      <c r="K76" s="7" t="n"/>
      <c r="L76" s="19">
        <f>IF(K76="","",K76*Admin!$C$6)</f>
        <v/>
      </c>
      <c r="M76" s="19">
        <f>IF(AND(G76="",J76="",L76=""),"",N(G76)+N(J76)+N(L76))</f>
        <v/>
      </c>
      <c r="N76" s="7" t="n"/>
      <c r="O76" s="7" t="n"/>
      <c r="P76" s="7" t="n"/>
    </row>
    <row r="77">
      <c r="B77" s="42" t="n"/>
      <c r="C77" s="5">
        <f>IF(B77="","",TEXT(B77,"DDD"))</f>
        <v/>
      </c>
      <c r="D77" s="7" t="n"/>
      <c r="E77" s="7" t="n"/>
      <c r="F77" s="7" t="n"/>
      <c r="G77" s="19">
        <f>IF(E77="","",E77*IF(F77="",Admin!$C$6,F77))</f>
        <v/>
      </c>
      <c r="H77" s="7" t="n"/>
      <c r="I77" s="7" t="n"/>
      <c r="J77" s="19">
        <f>IF(H77="","",H77*IF(I77="",Admin!$C$6,I77))</f>
        <v/>
      </c>
      <c r="K77" s="7" t="n"/>
      <c r="L77" s="19">
        <f>IF(K77="","",K77*Admin!$C$6)</f>
        <v/>
      </c>
      <c r="M77" s="19">
        <f>IF(AND(G77="",J77="",L77=""),"",N(G77)+N(J77)+N(L77))</f>
        <v/>
      </c>
      <c r="N77" s="7" t="n"/>
      <c r="O77" s="7" t="n"/>
      <c r="P77" s="7" t="n"/>
    </row>
    <row r="78">
      <c r="B78" s="42" t="n"/>
      <c r="C78" s="5">
        <f>IF(B78="","",TEXT(B78,"DDD"))</f>
        <v/>
      </c>
      <c r="D78" s="7" t="n"/>
      <c r="E78" s="7" t="n"/>
      <c r="F78" s="7" t="n"/>
      <c r="G78" s="19">
        <f>IF(E78="","",E78*IF(F78="",Admin!$C$6,F78))</f>
        <v/>
      </c>
      <c r="H78" s="7" t="n"/>
      <c r="I78" s="7" t="n"/>
      <c r="J78" s="19">
        <f>IF(H78="","",H78*IF(I78="",Admin!$C$6,I78))</f>
        <v/>
      </c>
      <c r="K78" s="7" t="n"/>
      <c r="L78" s="19">
        <f>IF(K78="","",K78*Admin!$C$6)</f>
        <v/>
      </c>
      <c r="M78" s="19">
        <f>IF(AND(G78="",J78="",L78=""),"",N(G78)+N(J78)+N(L78))</f>
        <v/>
      </c>
      <c r="N78" s="7" t="n"/>
      <c r="O78" s="7" t="n"/>
      <c r="P78" s="7" t="n"/>
    </row>
    <row r="79">
      <c r="B79" s="42" t="n"/>
      <c r="C79" s="5">
        <f>IF(B79="","",TEXT(B79,"DDD"))</f>
        <v/>
      </c>
      <c r="D79" s="7" t="n"/>
      <c r="E79" s="7" t="n"/>
      <c r="F79" s="7" t="n"/>
      <c r="G79" s="19">
        <f>IF(E79="","",E79*IF(F79="",Admin!$C$6,F79))</f>
        <v/>
      </c>
      <c r="H79" s="7" t="n"/>
      <c r="I79" s="7" t="n"/>
      <c r="J79" s="19">
        <f>IF(H79="","",H79*IF(I79="",Admin!$C$6,I79))</f>
        <v/>
      </c>
      <c r="K79" s="7" t="n"/>
      <c r="L79" s="19">
        <f>IF(K79="","",K79*Admin!$C$6)</f>
        <v/>
      </c>
      <c r="M79" s="19">
        <f>IF(AND(G79="",J79="",L79=""),"",N(G79)+N(J79)+N(L79))</f>
        <v/>
      </c>
      <c r="N79" s="7" t="n"/>
      <c r="O79" s="7" t="n"/>
      <c r="P79" s="7" t="n"/>
    </row>
    <row r="80">
      <c r="B80" s="42" t="n"/>
      <c r="C80" s="5">
        <f>IF(B80="","",TEXT(B80,"DDD"))</f>
        <v/>
      </c>
      <c r="D80" s="7" t="n"/>
      <c r="E80" s="7" t="n"/>
      <c r="F80" s="7" t="n"/>
      <c r="G80" s="19">
        <f>IF(E80="","",E80*IF(F80="",Admin!$C$6,F80))</f>
        <v/>
      </c>
      <c r="H80" s="7" t="n"/>
      <c r="I80" s="7" t="n"/>
      <c r="J80" s="19">
        <f>IF(H80="","",H80*IF(I80="",Admin!$C$6,I80))</f>
        <v/>
      </c>
      <c r="K80" s="7" t="n"/>
      <c r="L80" s="19">
        <f>IF(K80="","",K80*Admin!$C$6)</f>
        <v/>
      </c>
      <c r="M80" s="19">
        <f>IF(AND(G80="",J80="",L80=""),"",N(G80)+N(J80)+N(L80))</f>
        <v/>
      </c>
      <c r="N80" s="7" t="n"/>
      <c r="O80" s="7" t="n"/>
      <c r="P80" s="7" t="n"/>
    </row>
  </sheetData>
  <mergeCells count="8">
    <mergeCell ref="J4:K4"/>
    <mergeCell ref="B6:P6"/>
    <mergeCell ref="A1:P1"/>
    <mergeCell ref="I5:K5"/>
    <mergeCell ref="B4:D4"/>
    <mergeCell ref="G4:I4"/>
    <mergeCell ref="L5:P5"/>
    <mergeCell ref="A2:P2"/>
  </mergeCells>
  <dataValidations count="1">
    <dataValidation sqref="D8:D400" showDropDown="0" showInputMessage="0" showErrorMessage="0" allowBlank="1" type="list">
      <formula1>=Lookups!$J$5:$J$7</formula1>
    </dataValidation>
  </dataValidations>
  <pageMargins left="0.75" right="0.75" top="1" bottom="1" header="0.5" footer="0.5"/>
  <pageSetup orientation="landscape" paperSize="9" fitToHeight="0" fitToWidth="1"/>
  <headerFooter>
    <oddHeader>&amp;LKAZ PP Expansion | EHS</oddHeader>
    <oddFooter>&amp;RConfidential |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W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4" customWidth="1" min="4" max="4"/>
    <col width="22" customWidth="1" min="5" max="5"/>
    <col width="18" customWidth="1" min="6" max="6"/>
    <col width="16" customWidth="1" min="7" max="7"/>
    <col width="18" customWidth="1" min="8" max="8"/>
    <col width="14" customWidth="1" min="9" max="9"/>
    <col width="12" customWidth="1" min="10" max="10"/>
    <col width="12" customWidth="1" min="11" max="11"/>
    <col width="14" customWidth="1" min="12" max="12"/>
    <col width="14" customWidth="1" min="13" max="13"/>
    <col width="22" customWidth="1" min="14" max="14"/>
    <col width="18" customWidth="1" min="15" max="15"/>
    <col width="16" customWidth="1" min="16" max="16"/>
    <col width="14" customWidth="1" min="17" max="17"/>
    <col width="20" customWidth="1" min="18" max="18"/>
    <col width="16" customWidth="1" min="19" max="19"/>
    <col width="18" customWidth="1" min="20" max="20"/>
    <col width="18" customWidth="1" min="22" max="22"/>
    <col width="16" customWidth="1" min="23" max="23"/>
  </cols>
  <sheetData>
    <row r="1" ht="32" customHeight="1">
      <c r="A1" s="1" t="inlineStr">
        <is>
          <t>03  |  INCIDENT &amp; CASE REGISTER (OSHA CLASSIFICATION)</t>
        </is>
      </c>
    </row>
    <row r="2" ht="20" customHeight="1">
      <c r="A2" s="2" t="inlineStr">
        <is>
          <t>Record Near Miss, Unsafe Acts/Conditions, First Aid, Recordable, LTI. Feeds Dashboard counters and rates.</t>
        </is>
      </c>
    </row>
    <row r="3">
      <c r="B3" s="44" t="inlineStr">
        <is>
          <t>KPI COUNTERS (auto) — Near Miss | Unsafe Act | Unsafe Condition | First Aid | Recordable | LTI | Open cases</t>
        </is>
      </c>
    </row>
    <row r="4">
      <c r="B4" s="9" t="inlineStr">
        <is>
          <t>INC-ID</t>
        </is>
      </c>
      <c r="C4" s="9" t="inlineStr">
        <is>
          <t>Date</t>
        </is>
      </c>
      <c r="D4" s="9" t="inlineStr">
        <is>
          <t>Time</t>
        </is>
      </c>
      <c r="E4" s="9" t="inlineStr">
        <is>
          <t>Classification</t>
        </is>
      </c>
      <c r="F4" s="9" t="inlineStr">
        <is>
          <t>Location / Area</t>
        </is>
      </c>
      <c r="G4" s="9" t="inlineStr">
        <is>
          <t>Subcontractor</t>
        </is>
      </c>
      <c r="H4" s="9" t="inlineStr">
        <is>
          <t>PTW No.</t>
        </is>
      </c>
      <c r="I4" s="9" t="inlineStr">
        <is>
          <t>Injured / Involved</t>
        </is>
      </c>
      <c r="J4" s="9" t="inlineStr">
        <is>
          <t>Body Part</t>
        </is>
      </c>
      <c r="K4" s="9" t="inlineStr">
        <is>
          <t>Lost Days</t>
        </is>
      </c>
      <c r="L4" s="9" t="inlineStr">
        <is>
          <t>Recordable? (Y/N)</t>
        </is>
      </c>
      <c r="M4" s="9" t="inlineStr">
        <is>
          <t>LTI? (Y/N)</t>
        </is>
      </c>
      <c r="N4" s="9" t="inlineStr">
        <is>
          <t>Description</t>
        </is>
      </c>
      <c r="O4" s="9" t="inlineStr">
        <is>
          <t>Immediate Action</t>
        </is>
      </c>
      <c r="P4" s="9" t="inlineStr">
        <is>
          <t>Root Cause</t>
        </is>
      </c>
      <c r="Q4" s="9" t="inlineStr">
        <is>
          <t>Status</t>
        </is>
      </c>
      <c r="R4" s="9" t="inlineStr">
        <is>
          <t>Investigation Lead</t>
        </is>
      </c>
      <c r="S4" s="9" t="inlineStr">
        <is>
          <t>Closed Date</t>
        </is>
      </c>
      <c r="T4" s="9" t="inlineStr">
        <is>
          <t>Severity</t>
        </is>
      </c>
      <c r="V4" s="45" t="inlineStr">
        <is>
          <t>COUNTERS</t>
        </is>
      </c>
    </row>
    <row r="5">
      <c r="B5" s="7" t="inlineStr">
        <is>
          <t>INC-001</t>
        </is>
      </c>
      <c r="C5" s="42" t="n">
        <v>46083</v>
      </c>
      <c r="D5" s="7" t="inlineStr">
        <is>
          <t>08:40</t>
        </is>
      </c>
      <c r="E5" s="7" t="inlineStr">
        <is>
          <t>Near Miss</t>
        </is>
      </c>
      <c r="F5" s="7" t="inlineStr">
        <is>
          <t>Unit 2 Pipe Rack</t>
        </is>
      </c>
      <c r="G5" s="7" t="inlineStr">
        <is>
          <t>Team Seisms</t>
        </is>
      </c>
      <c r="H5" s="7" t="inlineStr">
        <is>
          <t>PTW-0142</t>
        </is>
      </c>
      <c r="I5" s="7" t="inlineStr">
        <is>
          <t>N/A</t>
        </is>
      </c>
      <c r="J5" s="7" t="inlineStr"/>
      <c r="K5" s="7" t="n">
        <v>0</v>
      </c>
      <c r="L5" s="5">
        <f>IF(E5="","",IF(OR(E5="Medical Treatment (MTC)",E5="Restricted Work (RWC)",E5="Lost Time Injury (LTI)",E5="Recordable Case",E5="Fatality"),"Y",IF(L5="Y","Y","N")))</f>
        <v/>
      </c>
      <c r="M5" s="5">
        <f>IF(E5="","",IF(OR(E5="Lost Time Injury (LTI)",E5="Fatality"),"Y","N"))</f>
        <v/>
      </c>
      <c r="N5" s="7" t="inlineStr">
        <is>
          <t>Load swung within 2m of live line during tandem lift</t>
        </is>
      </c>
      <c r="O5" s="7" t="inlineStr">
        <is>
          <t>Stop work, re-plan lift</t>
        </is>
      </c>
      <c r="P5" s="7" t="inlineStr">
        <is>
          <t>Inadequate exclusion zone</t>
        </is>
      </c>
      <c r="Q5" s="7" t="inlineStr">
        <is>
          <t>Closed</t>
        </is>
      </c>
      <c r="R5" s="7" t="inlineStr">
        <is>
          <t>EHS Off. Ali</t>
        </is>
      </c>
      <c r="S5" s="42" t="n">
        <v>46084</v>
      </c>
      <c r="T5" s="7" t="inlineStr">
        <is>
          <t>High</t>
        </is>
      </c>
      <c r="V5" s="46" t="inlineStr">
        <is>
          <t>Near Miss</t>
        </is>
      </c>
      <c r="W5" s="5">
        <f>COUNTIF(E5:E200,"Near Miss")</f>
        <v/>
      </c>
    </row>
    <row r="6">
      <c r="B6" s="7" t="inlineStr">
        <is>
          <t>INC-002</t>
        </is>
      </c>
      <c r="C6" s="42" t="n">
        <v>46086</v>
      </c>
      <c r="D6" s="7" t="inlineStr">
        <is>
          <t>14:15</t>
        </is>
      </c>
      <c r="E6" s="7" t="inlineStr">
        <is>
          <t>Unsafe Condition</t>
        </is>
      </c>
      <c r="F6" s="7" t="inlineStr">
        <is>
          <t>Excavation Grid C</t>
        </is>
      </c>
      <c r="G6" s="7" t="inlineStr">
        <is>
          <t>Team Al-Mayal</t>
        </is>
      </c>
      <c r="H6" s="7" t="inlineStr">
        <is>
          <t>PTW-0188</t>
        </is>
      </c>
      <c r="I6" s="7" t="inlineStr">
        <is>
          <t>N/A</t>
        </is>
      </c>
      <c r="J6" s="7" t="inlineStr"/>
      <c r="K6" s="7" t="n">
        <v>0</v>
      </c>
      <c r="L6" s="5">
        <f>IF(E6="","",IF(OR(E6="Medical Treatment (MTC)",E6="Restricted Work (RWC)",E6="Lost Time Injury (LTI)",E6="Recordable Case",E6="Fatality"),"Y",IF(L6="Y","Y","N")))</f>
        <v/>
      </c>
      <c r="M6" s="5">
        <f>IF(E6="","",IF(OR(E6="Lost Time Injury (LTI)",E6="Fatality"),"Y","N"))</f>
        <v/>
      </c>
      <c r="N6" s="7" t="inlineStr">
        <is>
          <t>Excavation &gt;1.2m without shoring / ladder</t>
        </is>
      </c>
      <c r="O6" s="7" t="inlineStr">
        <is>
          <t>Barrier + backfill temporary</t>
        </is>
      </c>
      <c r="P6" s="7" t="inlineStr">
        <is>
          <t>PTW controls not implemented</t>
        </is>
      </c>
      <c r="Q6" s="7" t="inlineStr">
        <is>
          <t>Closed</t>
        </is>
      </c>
      <c r="R6" s="7" t="inlineStr">
        <is>
          <t>EHS Off. Omar</t>
        </is>
      </c>
      <c r="S6" s="42" t="n">
        <v>46087</v>
      </c>
      <c r="T6" s="7" t="inlineStr">
        <is>
          <t>High</t>
        </is>
      </c>
      <c r="V6" s="46" t="inlineStr">
        <is>
          <t>Unsafe Act</t>
        </is>
      </c>
      <c r="W6" s="5">
        <f>COUNTIF(E5:E200,"Unsafe Act")</f>
        <v/>
      </c>
    </row>
    <row r="7">
      <c r="B7" s="7" t="inlineStr">
        <is>
          <t>INC-003</t>
        </is>
      </c>
      <c r="C7" s="42" t="n">
        <v>46089</v>
      </c>
      <c r="D7" s="7" t="inlineStr">
        <is>
          <t>11:05</t>
        </is>
      </c>
      <c r="E7" s="7" t="inlineStr">
        <is>
          <t>First Aid</t>
        </is>
      </c>
      <c r="F7" s="7" t="inlineStr">
        <is>
          <t>Workshop</t>
        </is>
      </c>
      <c r="G7" s="7" t="inlineStr">
        <is>
          <t>Mechanical Subcontractor B</t>
        </is>
      </c>
      <c r="H7" s="7" t="inlineStr">
        <is>
          <t>PTW-0210</t>
        </is>
      </c>
      <c r="I7" s="7" t="inlineStr">
        <is>
          <t>Worker #442</t>
        </is>
      </c>
      <c r="J7" s="7" t="inlineStr">
        <is>
          <t>Hand</t>
        </is>
      </c>
      <c r="K7" s="7" t="n">
        <v>0</v>
      </c>
      <c r="L7" s="5">
        <f>IF(E7="","",IF(OR(E7="Medical Treatment (MTC)",E7="Restricted Work (RWC)",E7="Lost Time Injury (LTI)",E7="Recordable Case",E7="Fatality"),"Y",IF(L7="Y","Y","N")))</f>
        <v/>
      </c>
      <c r="M7" s="5">
        <f>IF(E7="","",IF(OR(E7="Lost Time Injury (LTI)",E7="Fatality"),"Y","N"))</f>
        <v/>
      </c>
      <c r="N7" s="7" t="inlineStr">
        <is>
          <t>Minor cut while using utility knife without cut-resistant glove</t>
        </is>
      </c>
      <c r="O7" s="7" t="inlineStr">
        <is>
          <t>First aid, replace glove</t>
        </is>
      </c>
      <c r="P7" s="7" t="inlineStr">
        <is>
          <t>PPE gap</t>
        </is>
      </c>
      <c r="Q7" s="7" t="inlineStr">
        <is>
          <t>Closed</t>
        </is>
      </c>
      <c r="R7" s="7" t="inlineStr">
        <is>
          <t>Nurse</t>
        </is>
      </c>
      <c r="S7" s="42" t="n">
        <v>46089</v>
      </c>
      <c r="T7" s="7" t="inlineStr">
        <is>
          <t>Low</t>
        </is>
      </c>
      <c r="V7" s="46" t="inlineStr">
        <is>
          <t>Unsafe Condition</t>
        </is>
      </c>
      <c r="W7" s="5">
        <f>COUNTIF(E5:E200,"Unsafe Condition")</f>
        <v/>
      </c>
    </row>
    <row r="8">
      <c r="B8" s="7" t="inlineStr">
        <is>
          <t>INC-004</t>
        </is>
      </c>
      <c r="C8" s="42" t="n">
        <v>46091</v>
      </c>
      <c r="D8" s="7" t="inlineStr">
        <is>
          <t>16:20</t>
        </is>
      </c>
      <c r="E8" s="7" t="inlineStr">
        <is>
          <t>Unsafe Act</t>
        </is>
      </c>
      <c r="F8" s="7" t="inlineStr">
        <is>
          <t>Scaffold Bay 4</t>
        </is>
      </c>
      <c r="G8" s="7" t="inlineStr">
        <is>
          <t>Scaffolding Contractor D</t>
        </is>
      </c>
      <c r="H8" s="7" t="inlineStr">
        <is>
          <t>PTW-0225</t>
        </is>
      </c>
      <c r="I8" s="7" t="inlineStr">
        <is>
          <t>N/A</t>
        </is>
      </c>
      <c r="J8" s="7" t="inlineStr"/>
      <c r="K8" s="7" t="n">
        <v>0</v>
      </c>
      <c r="L8" s="5">
        <f>IF(E8="","",IF(OR(E8="Medical Treatment (MTC)",E8="Restricted Work (RWC)",E8="Lost Time Injury (LTI)",E8="Recordable Case",E8="Fatality"),"Y",IF(L8="Y","Y","N")))</f>
        <v/>
      </c>
      <c r="M8" s="5">
        <f>IF(E8="","",IF(OR(E8="Lost Time Injury (LTI)",E8="Fatality"),"Y","N"))</f>
        <v/>
      </c>
      <c r="N8" s="7" t="inlineStr">
        <is>
          <t>Worker climbing scaffold without harness attached</t>
        </is>
      </c>
      <c r="O8" s="7" t="inlineStr">
        <is>
          <t>Stopped, TBT refresh</t>
        </is>
      </c>
      <c r="P8" s="7" t="inlineStr">
        <is>
          <t>Behavior / supervision</t>
        </is>
      </c>
      <c r="Q8" s="7" t="inlineStr">
        <is>
          <t>Open</t>
        </is>
      </c>
      <c r="R8" s="7" t="inlineStr">
        <is>
          <t>EHS Sup. Hassan</t>
        </is>
      </c>
      <c r="S8" s="7" t="inlineStr"/>
      <c r="T8" s="7" t="inlineStr">
        <is>
          <t>Medium</t>
        </is>
      </c>
      <c r="V8" s="46" t="inlineStr">
        <is>
          <t>First Aid</t>
        </is>
      </c>
      <c r="W8" s="5">
        <f>COUNTIF(E5:E200,"First Aid")</f>
        <v/>
      </c>
    </row>
    <row r="9">
      <c r="B9" s="7">
        <f>IF(C9="","","INC-"&amp;TEXT(r-4,"000"))</f>
        <v/>
      </c>
      <c r="C9" s="42" t="n"/>
      <c r="D9" s="7" t="n"/>
      <c r="E9" s="7" t="n"/>
      <c r="F9" s="7" t="n"/>
      <c r="G9" s="7" t="n"/>
      <c r="H9" s="7" t="n"/>
      <c r="I9" s="7" t="n"/>
      <c r="J9" s="7" t="n"/>
      <c r="K9" s="7" t="n"/>
      <c r="L9" s="5">
        <f>IF(E9="","",IF(OR(E9="Medical Treatment (MTC)",E9="Restricted Work (RWC)",E9="Lost Time Injury (LTI)",E9="Recordable Case",E9="Fatality"),"Y",IF(L9="Y","Y","N")))</f>
        <v/>
      </c>
      <c r="M9" s="5">
        <f>IF(E9="","",IF(OR(E9="Lost Time Injury (LTI)",E9="Fatality"),"Y","N"))</f>
        <v/>
      </c>
      <c r="N9" s="7" t="n"/>
      <c r="O9" s="7" t="n"/>
      <c r="P9" s="7" t="n"/>
      <c r="Q9" s="7" t="n"/>
      <c r="R9" s="7" t="n"/>
      <c r="S9" s="42" t="n"/>
      <c r="T9" s="7" t="n"/>
      <c r="V9" s="46" t="inlineStr">
        <is>
          <t>Recordable</t>
        </is>
      </c>
      <c r="W9" s="5">
        <f>COUNTIF(L5:L200,"Y")</f>
        <v/>
      </c>
    </row>
    <row r="10">
      <c r="B10" s="7">
        <f>IF(C10="","","INC-"&amp;TEXT(r-4,"000"))</f>
        <v/>
      </c>
      <c r="C10" s="42" t="n"/>
      <c r="D10" s="7" t="n"/>
      <c r="E10" s="7" t="n"/>
      <c r="F10" s="7" t="n"/>
      <c r="G10" s="7" t="n"/>
      <c r="H10" s="7" t="n"/>
      <c r="I10" s="7" t="n"/>
      <c r="J10" s="7" t="n"/>
      <c r="K10" s="7" t="n"/>
      <c r="L10" s="5">
        <f>IF(E10="","",IF(OR(E10="Medical Treatment (MTC)",E10="Restricted Work (RWC)",E10="Lost Time Injury (LTI)",E10="Recordable Case",E10="Fatality"),"Y",IF(L10="Y","Y","N")))</f>
        <v/>
      </c>
      <c r="M10" s="5">
        <f>IF(E10="","",IF(OR(E10="Lost Time Injury (LTI)",E10="Fatality"),"Y","N"))</f>
        <v/>
      </c>
      <c r="N10" s="7" t="n"/>
      <c r="O10" s="7" t="n"/>
      <c r="P10" s="7" t="n"/>
      <c r="Q10" s="7" t="n"/>
      <c r="R10" s="7" t="n"/>
      <c r="S10" s="42" t="n"/>
      <c r="T10" s="7" t="n"/>
      <c r="V10" s="46" t="inlineStr">
        <is>
          <t>LTI</t>
        </is>
      </c>
      <c r="W10" s="5">
        <f>COUNTIF(M5:M200,"Y")</f>
        <v/>
      </c>
    </row>
    <row r="11">
      <c r="B11" s="7">
        <f>IF(C11="","","INC-"&amp;TEXT(r-4,"000"))</f>
        <v/>
      </c>
      <c r="C11" s="42" t="n"/>
      <c r="D11" s="7" t="n"/>
      <c r="E11" s="7" t="n"/>
      <c r="F11" s="7" t="n"/>
      <c r="G11" s="7" t="n"/>
      <c r="H11" s="7" t="n"/>
      <c r="I11" s="7" t="n"/>
      <c r="J11" s="7" t="n"/>
      <c r="K11" s="7" t="n"/>
      <c r="L11" s="5">
        <f>IF(E11="","",IF(OR(E11="Medical Treatment (MTC)",E11="Restricted Work (RWC)",E11="Lost Time Injury (LTI)",E11="Recordable Case",E11="Fatality"),"Y",IF(L11="Y","Y","N")))</f>
        <v/>
      </c>
      <c r="M11" s="5">
        <f>IF(E11="","",IF(OR(E11="Lost Time Injury (LTI)",E11="Fatality"),"Y","N"))</f>
        <v/>
      </c>
      <c r="N11" s="7" t="n"/>
      <c r="O11" s="7" t="n"/>
      <c r="P11" s="7" t="n"/>
      <c r="Q11" s="7" t="n"/>
      <c r="R11" s="7" t="n"/>
      <c r="S11" s="42" t="n"/>
      <c r="T11" s="7" t="n"/>
      <c r="V11" s="46" t="inlineStr">
        <is>
          <t>Fatalities</t>
        </is>
      </c>
      <c r="W11" s="5">
        <f>COUNTIF(E5:E200,"Fatality")</f>
        <v/>
      </c>
    </row>
    <row r="12">
      <c r="B12" s="7">
        <f>IF(C12="","","INC-"&amp;TEXT(r-4,"000"))</f>
        <v/>
      </c>
      <c r="C12" s="42" t="n"/>
      <c r="D12" s="7" t="n"/>
      <c r="E12" s="7" t="n"/>
      <c r="F12" s="7" t="n"/>
      <c r="G12" s="7" t="n"/>
      <c r="H12" s="7" t="n"/>
      <c r="I12" s="7" t="n"/>
      <c r="J12" s="7" t="n"/>
      <c r="K12" s="7" t="n"/>
      <c r="L12" s="5">
        <f>IF(E12="","",IF(OR(E12="Medical Treatment (MTC)",E12="Restricted Work (RWC)",E12="Lost Time Injury (LTI)",E12="Recordable Case",E12="Fatality"),"Y",IF(L12="Y","Y","N")))</f>
        <v/>
      </c>
      <c r="M12" s="5">
        <f>IF(E12="","",IF(OR(E12="Lost Time Injury (LTI)",E12="Fatality"),"Y","N"))</f>
        <v/>
      </c>
      <c r="N12" s="7" t="n"/>
      <c r="O12" s="7" t="n"/>
      <c r="P12" s="7" t="n"/>
      <c r="Q12" s="7" t="n"/>
      <c r="R12" s="7" t="n"/>
      <c r="S12" s="42" t="n"/>
      <c r="T12" s="7" t="n"/>
      <c r="V12" s="46" t="inlineStr">
        <is>
          <t>Open</t>
        </is>
      </c>
      <c r="W12" s="5">
        <f>COUNTIF(Q5:Q200,"Open")+COUNTIF(Q5:Q200,"In Progress")</f>
        <v/>
      </c>
    </row>
    <row r="13">
      <c r="B13" s="7">
        <f>IF(C13="","","INC-"&amp;TEXT(r-4,"000"))</f>
        <v/>
      </c>
      <c r="C13" s="42" t="n"/>
      <c r="D13" s="7" t="n"/>
      <c r="E13" s="7" t="n"/>
      <c r="F13" s="7" t="n"/>
      <c r="G13" s="7" t="n"/>
      <c r="H13" s="7" t="n"/>
      <c r="I13" s="7" t="n"/>
      <c r="J13" s="7" t="n"/>
      <c r="K13" s="7" t="n"/>
      <c r="L13" s="5">
        <f>IF(E13="","",IF(OR(E13="Medical Treatment (MTC)",E13="Restricted Work (RWC)",E13="Lost Time Injury (LTI)",E13="Recordable Case",E13="Fatality"),"Y",IF(L13="Y","Y","N")))</f>
        <v/>
      </c>
      <c r="M13" s="5">
        <f>IF(E13="","",IF(OR(E13="Lost Time Injury (LTI)",E13="Fatality"),"Y","N"))</f>
        <v/>
      </c>
      <c r="N13" s="7" t="n"/>
      <c r="O13" s="7" t="n"/>
      <c r="P13" s="7" t="n"/>
      <c r="Q13" s="7" t="n"/>
      <c r="R13" s="7" t="n"/>
      <c r="S13" s="42" t="n"/>
      <c r="T13" s="7" t="n"/>
      <c r="V13" s="46" t="inlineStr">
        <is>
          <t>Last LTI Date</t>
        </is>
      </c>
      <c r="W13" s="6">
        <f>IFERROR(AGGREGATE(14,6,C5:C200/(M5:M200="Y"),1),"None")</f>
        <v/>
      </c>
    </row>
    <row r="14">
      <c r="B14" s="7">
        <f>IF(C14="","","INC-"&amp;TEXT(r-4,"000"))</f>
        <v/>
      </c>
      <c r="C14" s="42" t="n"/>
      <c r="D14" s="7" t="n"/>
      <c r="E14" s="7" t="n"/>
      <c r="F14" s="7" t="n"/>
      <c r="G14" s="7" t="n"/>
      <c r="H14" s="7" t="n"/>
      <c r="I14" s="7" t="n"/>
      <c r="J14" s="7" t="n"/>
      <c r="K14" s="7" t="n"/>
      <c r="L14" s="5">
        <f>IF(E14="","",IF(OR(E14="Medical Treatment (MTC)",E14="Restricted Work (RWC)",E14="Lost Time Injury (LTI)",E14="Recordable Case",E14="Fatality"),"Y",IF(L14="Y","Y","N")))</f>
        <v/>
      </c>
      <c r="M14" s="5">
        <f>IF(E14="","",IF(OR(E14="Lost Time Injury (LTI)",E14="Fatality"),"Y","N"))</f>
        <v/>
      </c>
      <c r="N14" s="7" t="n"/>
      <c r="O14" s="7" t="n"/>
      <c r="P14" s="7" t="n"/>
      <c r="Q14" s="7" t="n"/>
      <c r="R14" s="7" t="n"/>
      <c r="S14" s="42" t="n"/>
      <c r="T14" s="7" t="n"/>
      <c r="V14" s="46" t="inlineStr">
        <is>
          <t>Lost days sum</t>
        </is>
      </c>
      <c r="W14" s="5">
        <f>SUM(K5:K200)</f>
        <v/>
      </c>
    </row>
    <row r="15">
      <c r="B15" s="7">
        <f>IF(C15="","","INC-"&amp;TEXT(r-4,"000"))</f>
        <v/>
      </c>
      <c r="C15" s="42" t="n"/>
      <c r="D15" s="7" t="n"/>
      <c r="E15" s="7" t="n"/>
      <c r="F15" s="7" t="n"/>
      <c r="G15" s="7" t="n"/>
      <c r="H15" s="7" t="n"/>
      <c r="I15" s="7" t="n"/>
      <c r="J15" s="7" t="n"/>
      <c r="K15" s="7" t="n"/>
      <c r="L15" s="5">
        <f>IF(E15="","",IF(OR(E15="Medical Treatment (MTC)",E15="Restricted Work (RWC)",E15="Lost Time Injury (LTI)",E15="Recordable Case",E15="Fatality"),"Y",IF(L15="Y","Y","N")))</f>
        <v/>
      </c>
      <c r="M15" s="5">
        <f>IF(E15="","",IF(OR(E15="Lost Time Injury (LTI)",E15="Fatality"),"Y","N"))</f>
        <v/>
      </c>
      <c r="N15" s="7" t="n"/>
      <c r="O15" s="7" t="n"/>
      <c r="P15" s="7" t="n"/>
      <c r="Q15" s="7" t="n"/>
      <c r="R15" s="7" t="n"/>
      <c r="S15" s="42" t="n"/>
      <c r="T15" s="7" t="n"/>
    </row>
    <row r="16">
      <c r="B16" s="7">
        <f>IF(C16="","","INC-"&amp;TEXT(r-4,"000"))</f>
        <v/>
      </c>
      <c r="C16" s="42" t="n"/>
      <c r="D16" s="7" t="n"/>
      <c r="E16" s="7" t="n"/>
      <c r="F16" s="7" t="n"/>
      <c r="G16" s="7" t="n"/>
      <c r="H16" s="7" t="n"/>
      <c r="I16" s="7" t="n"/>
      <c r="J16" s="7" t="n"/>
      <c r="K16" s="7" t="n"/>
      <c r="L16" s="5">
        <f>IF(E16="","",IF(OR(E16="Medical Treatment (MTC)",E16="Restricted Work (RWC)",E16="Lost Time Injury (LTI)",E16="Recordable Case",E16="Fatality"),"Y",IF(L16="Y","Y","N")))</f>
        <v/>
      </c>
      <c r="M16" s="5">
        <f>IF(E16="","",IF(OR(E16="Lost Time Injury (LTI)",E16="Fatality"),"Y","N"))</f>
        <v/>
      </c>
      <c r="N16" s="7" t="n"/>
      <c r="O16" s="7" t="n"/>
      <c r="P16" s="7" t="n"/>
      <c r="Q16" s="7" t="n"/>
      <c r="R16" s="7" t="n"/>
      <c r="S16" s="42" t="n"/>
      <c r="T16" s="7" t="n"/>
    </row>
    <row r="17">
      <c r="B17" s="7">
        <f>IF(C17="","","INC-"&amp;TEXT(r-4,"000"))</f>
        <v/>
      </c>
      <c r="C17" s="42" t="n"/>
      <c r="D17" s="7" t="n"/>
      <c r="E17" s="7" t="n"/>
      <c r="F17" s="7" t="n"/>
      <c r="G17" s="7" t="n"/>
      <c r="H17" s="7" t="n"/>
      <c r="I17" s="7" t="n"/>
      <c r="J17" s="7" t="n"/>
      <c r="K17" s="7" t="n"/>
      <c r="L17" s="5">
        <f>IF(E17="","",IF(OR(E17="Medical Treatment (MTC)",E17="Restricted Work (RWC)",E17="Lost Time Injury (LTI)",E17="Recordable Case",E17="Fatality"),"Y",IF(L17="Y","Y","N")))</f>
        <v/>
      </c>
      <c r="M17" s="5">
        <f>IF(E17="","",IF(OR(E17="Lost Time Injury (LTI)",E17="Fatality"),"Y","N"))</f>
        <v/>
      </c>
      <c r="N17" s="7" t="n"/>
      <c r="O17" s="7" t="n"/>
      <c r="P17" s="7" t="n"/>
      <c r="Q17" s="7" t="n"/>
      <c r="R17" s="7" t="n"/>
      <c r="S17" s="42" t="n"/>
      <c r="T17" s="7" t="n"/>
    </row>
    <row r="18">
      <c r="B18" s="7">
        <f>IF(C18="","","INC-"&amp;TEXT(r-4,"000"))</f>
        <v/>
      </c>
      <c r="C18" s="42" t="n"/>
      <c r="D18" s="7" t="n"/>
      <c r="E18" s="7" t="n"/>
      <c r="F18" s="7" t="n"/>
      <c r="G18" s="7" t="n"/>
      <c r="H18" s="7" t="n"/>
      <c r="I18" s="7" t="n"/>
      <c r="J18" s="7" t="n"/>
      <c r="K18" s="7" t="n"/>
      <c r="L18" s="5">
        <f>IF(E18="","",IF(OR(E18="Medical Treatment (MTC)",E18="Restricted Work (RWC)",E18="Lost Time Injury (LTI)",E18="Recordable Case",E18="Fatality"),"Y",IF(L18="Y","Y","N")))</f>
        <v/>
      </c>
      <c r="M18" s="5">
        <f>IF(E18="","",IF(OR(E18="Lost Time Injury (LTI)",E18="Fatality"),"Y","N"))</f>
        <v/>
      </c>
      <c r="N18" s="7" t="n"/>
      <c r="O18" s="7" t="n"/>
      <c r="P18" s="7" t="n"/>
      <c r="Q18" s="7" t="n"/>
      <c r="R18" s="7" t="n"/>
      <c r="S18" s="42" t="n"/>
      <c r="T18" s="7" t="n"/>
    </row>
    <row r="19">
      <c r="B19" s="7">
        <f>IF(C19="","","INC-"&amp;TEXT(r-4,"000"))</f>
        <v/>
      </c>
      <c r="C19" s="42" t="n"/>
      <c r="D19" s="7" t="n"/>
      <c r="E19" s="7" t="n"/>
      <c r="F19" s="7" t="n"/>
      <c r="G19" s="7" t="n"/>
      <c r="H19" s="7" t="n"/>
      <c r="I19" s="7" t="n"/>
      <c r="J19" s="7" t="n"/>
      <c r="K19" s="7" t="n"/>
      <c r="L19" s="5">
        <f>IF(E19="","",IF(OR(E19="Medical Treatment (MTC)",E19="Restricted Work (RWC)",E19="Lost Time Injury (LTI)",E19="Recordable Case",E19="Fatality"),"Y",IF(L19="Y","Y","N")))</f>
        <v/>
      </c>
      <c r="M19" s="5">
        <f>IF(E19="","",IF(OR(E19="Lost Time Injury (LTI)",E19="Fatality"),"Y","N"))</f>
        <v/>
      </c>
      <c r="N19" s="7" t="n"/>
      <c r="O19" s="7" t="n"/>
      <c r="P19" s="7" t="n"/>
      <c r="Q19" s="7" t="n"/>
      <c r="R19" s="7" t="n"/>
      <c r="S19" s="42" t="n"/>
      <c r="T19" s="7" t="n"/>
    </row>
    <row r="20">
      <c r="B20" s="7">
        <f>IF(C20="","","INC-"&amp;TEXT(r-4,"000"))</f>
        <v/>
      </c>
      <c r="C20" s="42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>
        <f>IF(E20="","",IF(OR(E20="Medical Treatment (MTC)",E20="Restricted Work (RWC)",E20="Lost Time Injury (LTI)",E20="Recordable Case",E20="Fatality"),"Y",IF(L20="Y","Y","N")))</f>
        <v/>
      </c>
      <c r="M20" s="5">
        <f>IF(E20="","",IF(OR(E20="Lost Time Injury (LTI)",E20="Fatality"),"Y","N"))</f>
        <v/>
      </c>
      <c r="N20" s="7" t="n"/>
      <c r="O20" s="7" t="n"/>
      <c r="P20" s="7" t="n"/>
      <c r="Q20" s="7" t="n"/>
      <c r="R20" s="7" t="n"/>
      <c r="S20" s="42" t="n"/>
      <c r="T20" s="7" t="n"/>
    </row>
    <row r="21">
      <c r="B21" s="7">
        <f>IF(C21="","","INC-"&amp;TEXT(r-4,"000"))</f>
        <v/>
      </c>
      <c r="C21" s="42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>
        <f>IF(E21="","",IF(OR(E21="Medical Treatment (MTC)",E21="Restricted Work (RWC)",E21="Lost Time Injury (LTI)",E21="Recordable Case",E21="Fatality"),"Y",IF(L21="Y","Y","N")))</f>
        <v/>
      </c>
      <c r="M21" s="5">
        <f>IF(E21="","",IF(OR(E21="Lost Time Injury (LTI)",E21="Fatality"),"Y","N"))</f>
        <v/>
      </c>
      <c r="N21" s="7" t="n"/>
      <c r="O21" s="7" t="n"/>
      <c r="P21" s="7" t="n"/>
      <c r="Q21" s="7" t="n"/>
      <c r="R21" s="7" t="n"/>
      <c r="S21" s="42" t="n"/>
      <c r="T21" s="7" t="n"/>
    </row>
    <row r="22">
      <c r="B22" s="7">
        <f>IF(C22="","","INC-"&amp;TEXT(r-4,"000"))</f>
        <v/>
      </c>
      <c r="C22" s="42" t="n"/>
      <c r="D22" s="7" t="n"/>
      <c r="E22" s="7" t="n"/>
      <c r="F22" s="7" t="n"/>
      <c r="G22" s="7" t="n"/>
      <c r="H22" s="7" t="n"/>
      <c r="I22" s="7" t="n"/>
      <c r="J22" s="7" t="n"/>
      <c r="K22" s="7" t="n"/>
      <c r="L22" s="5">
        <f>IF(E22="","",IF(OR(E22="Medical Treatment (MTC)",E22="Restricted Work (RWC)",E22="Lost Time Injury (LTI)",E22="Recordable Case",E22="Fatality"),"Y",IF(L22="Y","Y","N")))</f>
        <v/>
      </c>
      <c r="M22" s="5">
        <f>IF(E22="","",IF(OR(E22="Lost Time Injury (LTI)",E22="Fatality"),"Y","N"))</f>
        <v/>
      </c>
      <c r="N22" s="7" t="n"/>
      <c r="O22" s="7" t="n"/>
      <c r="P22" s="7" t="n"/>
      <c r="Q22" s="7" t="n"/>
      <c r="R22" s="7" t="n"/>
      <c r="S22" s="42" t="n"/>
      <c r="T22" s="7" t="n"/>
    </row>
    <row r="23">
      <c r="B23" s="7">
        <f>IF(C23="","","INC-"&amp;TEXT(r-4,"000"))</f>
        <v/>
      </c>
      <c r="C23" s="42" t="n"/>
      <c r="D23" s="7" t="n"/>
      <c r="E23" s="7" t="n"/>
      <c r="F23" s="7" t="n"/>
      <c r="G23" s="7" t="n"/>
      <c r="H23" s="7" t="n"/>
      <c r="I23" s="7" t="n"/>
      <c r="J23" s="7" t="n"/>
      <c r="K23" s="7" t="n"/>
      <c r="L23" s="5">
        <f>IF(E23="","",IF(OR(E23="Medical Treatment (MTC)",E23="Restricted Work (RWC)",E23="Lost Time Injury (LTI)",E23="Recordable Case",E23="Fatality"),"Y",IF(L23="Y","Y","N")))</f>
        <v/>
      </c>
      <c r="M23" s="5">
        <f>IF(E23="","",IF(OR(E23="Lost Time Injury (LTI)",E23="Fatality"),"Y","N"))</f>
        <v/>
      </c>
      <c r="N23" s="7" t="n"/>
      <c r="O23" s="7" t="n"/>
      <c r="P23" s="7" t="n"/>
      <c r="Q23" s="7" t="n"/>
      <c r="R23" s="7" t="n"/>
      <c r="S23" s="42" t="n"/>
      <c r="T23" s="7" t="n"/>
    </row>
    <row r="24">
      <c r="B24" s="7">
        <f>IF(C24="","","INC-"&amp;TEXT(r-4,"000"))</f>
        <v/>
      </c>
      <c r="C24" s="42" t="n"/>
      <c r="D24" s="7" t="n"/>
      <c r="E24" s="7" t="n"/>
      <c r="F24" s="7" t="n"/>
      <c r="G24" s="7" t="n"/>
      <c r="H24" s="7" t="n"/>
      <c r="I24" s="7" t="n"/>
      <c r="J24" s="7" t="n"/>
      <c r="K24" s="7" t="n"/>
      <c r="L24" s="5">
        <f>IF(E24="","",IF(OR(E24="Medical Treatment (MTC)",E24="Restricted Work (RWC)",E24="Lost Time Injury (LTI)",E24="Recordable Case",E24="Fatality"),"Y",IF(L24="Y","Y","N")))</f>
        <v/>
      </c>
      <c r="M24" s="5">
        <f>IF(E24="","",IF(OR(E24="Lost Time Injury (LTI)",E24="Fatality"),"Y","N"))</f>
        <v/>
      </c>
      <c r="N24" s="7" t="n"/>
      <c r="O24" s="7" t="n"/>
      <c r="P24" s="7" t="n"/>
      <c r="Q24" s="7" t="n"/>
      <c r="R24" s="7" t="n"/>
      <c r="S24" s="42" t="n"/>
      <c r="T24" s="7" t="n"/>
    </row>
    <row r="25">
      <c r="B25" s="7">
        <f>IF(C25="","","INC-"&amp;TEXT(r-4,"000"))</f>
        <v/>
      </c>
      <c r="C25" s="42" t="n"/>
      <c r="D25" s="7" t="n"/>
      <c r="E25" s="7" t="n"/>
      <c r="F25" s="7" t="n"/>
      <c r="G25" s="7" t="n"/>
      <c r="H25" s="7" t="n"/>
      <c r="I25" s="7" t="n"/>
      <c r="J25" s="7" t="n"/>
      <c r="K25" s="7" t="n"/>
      <c r="L25" s="5">
        <f>IF(E25="","",IF(OR(E25="Medical Treatment (MTC)",E25="Restricted Work (RWC)",E25="Lost Time Injury (LTI)",E25="Recordable Case",E25="Fatality"),"Y",IF(L25="Y","Y","N")))</f>
        <v/>
      </c>
      <c r="M25" s="5">
        <f>IF(E25="","",IF(OR(E25="Lost Time Injury (LTI)",E25="Fatality"),"Y","N"))</f>
        <v/>
      </c>
      <c r="N25" s="7" t="n"/>
      <c r="O25" s="7" t="n"/>
      <c r="P25" s="7" t="n"/>
      <c r="Q25" s="7" t="n"/>
      <c r="R25" s="7" t="n"/>
      <c r="S25" s="42" t="n"/>
      <c r="T25" s="7" t="n"/>
    </row>
    <row r="26">
      <c r="B26" s="7">
        <f>IF(C26="","","INC-"&amp;TEXT(r-4,"000"))</f>
        <v/>
      </c>
      <c r="C26" s="42" t="n"/>
      <c r="D26" s="7" t="n"/>
      <c r="E26" s="7" t="n"/>
      <c r="F26" s="7" t="n"/>
      <c r="G26" s="7" t="n"/>
      <c r="H26" s="7" t="n"/>
      <c r="I26" s="7" t="n"/>
      <c r="J26" s="7" t="n"/>
      <c r="K26" s="7" t="n"/>
      <c r="L26" s="5">
        <f>IF(E26="","",IF(OR(E26="Medical Treatment (MTC)",E26="Restricted Work (RWC)",E26="Lost Time Injury (LTI)",E26="Recordable Case",E26="Fatality"),"Y",IF(L26="Y","Y","N")))</f>
        <v/>
      </c>
      <c r="M26" s="5">
        <f>IF(E26="","",IF(OR(E26="Lost Time Injury (LTI)",E26="Fatality"),"Y","N"))</f>
        <v/>
      </c>
      <c r="N26" s="7" t="n"/>
      <c r="O26" s="7" t="n"/>
      <c r="P26" s="7" t="n"/>
      <c r="Q26" s="7" t="n"/>
      <c r="R26" s="7" t="n"/>
      <c r="S26" s="42" t="n"/>
      <c r="T26" s="7" t="n"/>
    </row>
    <row r="27">
      <c r="B27" s="7">
        <f>IF(C27="","","INC-"&amp;TEXT(r-4,"000"))</f>
        <v/>
      </c>
      <c r="C27" s="42" t="n"/>
      <c r="D27" s="7" t="n"/>
      <c r="E27" s="7" t="n"/>
      <c r="F27" s="7" t="n"/>
      <c r="G27" s="7" t="n"/>
      <c r="H27" s="7" t="n"/>
      <c r="I27" s="7" t="n"/>
      <c r="J27" s="7" t="n"/>
      <c r="K27" s="7" t="n"/>
      <c r="L27" s="5">
        <f>IF(E27="","",IF(OR(E27="Medical Treatment (MTC)",E27="Restricted Work (RWC)",E27="Lost Time Injury (LTI)",E27="Recordable Case",E27="Fatality"),"Y",IF(L27="Y","Y","N")))</f>
        <v/>
      </c>
      <c r="M27" s="5">
        <f>IF(E27="","",IF(OR(E27="Lost Time Injury (LTI)",E27="Fatality"),"Y","N"))</f>
        <v/>
      </c>
      <c r="N27" s="7" t="n"/>
      <c r="O27" s="7" t="n"/>
      <c r="P27" s="7" t="n"/>
      <c r="Q27" s="7" t="n"/>
      <c r="R27" s="7" t="n"/>
      <c r="S27" s="42" t="n"/>
      <c r="T27" s="7" t="n"/>
    </row>
    <row r="28">
      <c r="B28" s="7">
        <f>IF(C28="","","INC-"&amp;TEXT(r-4,"000"))</f>
        <v/>
      </c>
      <c r="C28" s="42" t="n"/>
      <c r="D28" s="7" t="n"/>
      <c r="E28" s="7" t="n"/>
      <c r="F28" s="7" t="n"/>
      <c r="G28" s="7" t="n"/>
      <c r="H28" s="7" t="n"/>
      <c r="I28" s="7" t="n"/>
      <c r="J28" s="7" t="n"/>
      <c r="K28" s="7" t="n"/>
      <c r="L28" s="5">
        <f>IF(E28="","",IF(OR(E28="Medical Treatment (MTC)",E28="Restricted Work (RWC)",E28="Lost Time Injury (LTI)",E28="Recordable Case",E28="Fatality"),"Y",IF(L28="Y","Y","N")))</f>
        <v/>
      </c>
      <c r="M28" s="5">
        <f>IF(E28="","",IF(OR(E28="Lost Time Injury (LTI)",E28="Fatality"),"Y","N"))</f>
        <v/>
      </c>
      <c r="N28" s="7" t="n"/>
      <c r="O28" s="7" t="n"/>
      <c r="P28" s="7" t="n"/>
      <c r="Q28" s="7" t="n"/>
      <c r="R28" s="7" t="n"/>
      <c r="S28" s="42" t="n"/>
      <c r="T28" s="7" t="n"/>
    </row>
    <row r="29">
      <c r="B29" s="7">
        <f>IF(C29="","","INC-"&amp;TEXT(r-4,"000"))</f>
        <v/>
      </c>
      <c r="C29" s="42" t="n"/>
      <c r="D29" s="7" t="n"/>
      <c r="E29" s="7" t="n"/>
      <c r="F29" s="7" t="n"/>
      <c r="G29" s="7" t="n"/>
      <c r="H29" s="7" t="n"/>
      <c r="I29" s="7" t="n"/>
      <c r="J29" s="7" t="n"/>
      <c r="K29" s="7" t="n"/>
      <c r="L29" s="5">
        <f>IF(E29="","",IF(OR(E29="Medical Treatment (MTC)",E29="Restricted Work (RWC)",E29="Lost Time Injury (LTI)",E29="Recordable Case",E29="Fatality"),"Y",IF(L29="Y","Y","N")))</f>
        <v/>
      </c>
      <c r="M29" s="5">
        <f>IF(E29="","",IF(OR(E29="Lost Time Injury (LTI)",E29="Fatality"),"Y","N"))</f>
        <v/>
      </c>
      <c r="N29" s="7" t="n"/>
      <c r="O29" s="7" t="n"/>
      <c r="P29" s="7" t="n"/>
      <c r="Q29" s="7" t="n"/>
      <c r="R29" s="7" t="n"/>
      <c r="S29" s="42" t="n"/>
      <c r="T29" s="7" t="n"/>
    </row>
    <row r="30">
      <c r="B30" s="7">
        <f>IF(C30="","","INC-"&amp;TEXT(r-4,"000"))</f>
        <v/>
      </c>
      <c r="C30" s="42" t="n"/>
      <c r="D30" s="7" t="n"/>
      <c r="E30" s="7" t="n"/>
      <c r="F30" s="7" t="n"/>
      <c r="G30" s="7" t="n"/>
      <c r="H30" s="7" t="n"/>
      <c r="I30" s="7" t="n"/>
      <c r="J30" s="7" t="n"/>
      <c r="K30" s="7" t="n"/>
      <c r="L30" s="5">
        <f>IF(E30="","",IF(OR(E30="Medical Treatment (MTC)",E30="Restricted Work (RWC)",E30="Lost Time Injury (LTI)",E30="Recordable Case",E30="Fatality"),"Y",IF(L30="Y","Y","N")))</f>
        <v/>
      </c>
      <c r="M30" s="5">
        <f>IF(E30="","",IF(OR(E30="Lost Time Injury (LTI)",E30="Fatality"),"Y","N"))</f>
        <v/>
      </c>
      <c r="N30" s="7" t="n"/>
      <c r="O30" s="7" t="n"/>
      <c r="P30" s="7" t="n"/>
      <c r="Q30" s="7" t="n"/>
      <c r="R30" s="7" t="n"/>
      <c r="S30" s="42" t="n"/>
      <c r="T30" s="7" t="n"/>
    </row>
    <row r="31">
      <c r="B31" s="7">
        <f>IF(C31="","","INC-"&amp;TEXT(r-4,"000"))</f>
        <v/>
      </c>
      <c r="C31" s="42" t="n"/>
      <c r="D31" s="7" t="n"/>
      <c r="E31" s="7" t="n"/>
      <c r="F31" s="7" t="n"/>
      <c r="G31" s="7" t="n"/>
      <c r="H31" s="7" t="n"/>
      <c r="I31" s="7" t="n"/>
      <c r="J31" s="7" t="n"/>
      <c r="K31" s="7" t="n"/>
      <c r="L31" s="5">
        <f>IF(E31="","",IF(OR(E31="Medical Treatment (MTC)",E31="Restricted Work (RWC)",E31="Lost Time Injury (LTI)",E31="Recordable Case",E31="Fatality"),"Y",IF(L31="Y","Y","N")))</f>
        <v/>
      </c>
      <c r="M31" s="5">
        <f>IF(E31="","",IF(OR(E31="Lost Time Injury (LTI)",E31="Fatality"),"Y","N"))</f>
        <v/>
      </c>
      <c r="N31" s="7" t="n"/>
      <c r="O31" s="7" t="n"/>
      <c r="P31" s="7" t="n"/>
      <c r="Q31" s="7" t="n"/>
      <c r="R31" s="7" t="n"/>
      <c r="S31" s="42" t="n"/>
      <c r="T31" s="7" t="n"/>
    </row>
    <row r="32">
      <c r="B32" s="7">
        <f>IF(C32="","","INC-"&amp;TEXT(r-4,"000"))</f>
        <v/>
      </c>
      <c r="C32" s="42" t="n"/>
      <c r="D32" s="7" t="n"/>
      <c r="E32" s="7" t="n"/>
      <c r="F32" s="7" t="n"/>
      <c r="G32" s="7" t="n"/>
      <c r="H32" s="7" t="n"/>
      <c r="I32" s="7" t="n"/>
      <c r="J32" s="7" t="n"/>
      <c r="K32" s="7" t="n"/>
      <c r="L32" s="5">
        <f>IF(E32="","",IF(OR(E32="Medical Treatment (MTC)",E32="Restricted Work (RWC)",E32="Lost Time Injury (LTI)",E32="Recordable Case",E32="Fatality"),"Y",IF(L32="Y","Y","N")))</f>
        <v/>
      </c>
      <c r="M32" s="5">
        <f>IF(E32="","",IF(OR(E32="Lost Time Injury (LTI)",E32="Fatality"),"Y","N"))</f>
        <v/>
      </c>
      <c r="N32" s="7" t="n"/>
      <c r="O32" s="7" t="n"/>
      <c r="P32" s="7" t="n"/>
      <c r="Q32" s="7" t="n"/>
      <c r="R32" s="7" t="n"/>
      <c r="S32" s="42" t="n"/>
      <c r="T32" s="7" t="n"/>
    </row>
    <row r="33">
      <c r="B33" s="7">
        <f>IF(C33="","","INC-"&amp;TEXT(r-4,"000"))</f>
        <v/>
      </c>
      <c r="C33" s="42" t="n"/>
      <c r="D33" s="7" t="n"/>
      <c r="E33" s="7" t="n"/>
      <c r="F33" s="7" t="n"/>
      <c r="G33" s="7" t="n"/>
      <c r="H33" s="7" t="n"/>
      <c r="I33" s="7" t="n"/>
      <c r="J33" s="7" t="n"/>
      <c r="K33" s="7" t="n"/>
      <c r="L33" s="5">
        <f>IF(E33="","",IF(OR(E33="Medical Treatment (MTC)",E33="Restricted Work (RWC)",E33="Lost Time Injury (LTI)",E33="Recordable Case",E33="Fatality"),"Y",IF(L33="Y","Y","N")))</f>
        <v/>
      </c>
      <c r="M33" s="5">
        <f>IF(E33="","",IF(OR(E33="Lost Time Injury (LTI)",E33="Fatality"),"Y","N"))</f>
        <v/>
      </c>
      <c r="N33" s="7" t="n"/>
      <c r="O33" s="7" t="n"/>
      <c r="P33" s="7" t="n"/>
      <c r="Q33" s="7" t="n"/>
      <c r="R33" s="7" t="n"/>
      <c r="S33" s="42" t="n"/>
      <c r="T33" s="7" t="n"/>
    </row>
    <row r="34">
      <c r="B34" s="7">
        <f>IF(C34="","","INC-"&amp;TEXT(r-4,"000"))</f>
        <v/>
      </c>
      <c r="C34" s="42" t="n"/>
      <c r="D34" s="7" t="n"/>
      <c r="E34" s="7" t="n"/>
      <c r="F34" s="7" t="n"/>
      <c r="G34" s="7" t="n"/>
      <c r="H34" s="7" t="n"/>
      <c r="I34" s="7" t="n"/>
      <c r="J34" s="7" t="n"/>
      <c r="K34" s="7" t="n"/>
      <c r="L34" s="5">
        <f>IF(E34="","",IF(OR(E34="Medical Treatment (MTC)",E34="Restricted Work (RWC)",E34="Lost Time Injury (LTI)",E34="Recordable Case",E34="Fatality"),"Y",IF(L34="Y","Y","N")))</f>
        <v/>
      </c>
      <c r="M34" s="5">
        <f>IF(E34="","",IF(OR(E34="Lost Time Injury (LTI)",E34="Fatality"),"Y","N"))</f>
        <v/>
      </c>
      <c r="N34" s="7" t="n"/>
      <c r="O34" s="7" t="n"/>
      <c r="P34" s="7" t="n"/>
      <c r="Q34" s="7" t="n"/>
      <c r="R34" s="7" t="n"/>
      <c r="S34" s="42" t="n"/>
      <c r="T34" s="7" t="n"/>
    </row>
    <row r="35">
      <c r="B35" s="7">
        <f>IF(C35="","","INC-"&amp;TEXT(r-4,"000"))</f>
        <v/>
      </c>
      <c r="C35" s="42" t="n"/>
      <c r="D35" s="7" t="n"/>
      <c r="E35" s="7" t="n"/>
      <c r="F35" s="7" t="n"/>
      <c r="G35" s="7" t="n"/>
      <c r="H35" s="7" t="n"/>
      <c r="I35" s="7" t="n"/>
      <c r="J35" s="7" t="n"/>
      <c r="K35" s="7" t="n"/>
      <c r="L35" s="5">
        <f>IF(E35="","",IF(OR(E35="Medical Treatment (MTC)",E35="Restricted Work (RWC)",E35="Lost Time Injury (LTI)",E35="Recordable Case",E35="Fatality"),"Y",IF(L35="Y","Y","N")))</f>
        <v/>
      </c>
      <c r="M35" s="5">
        <f>IF(E35="","",IF(OR(E35="Lost Time Injury (LTI)",E35="Fatality"),"Y","N"))</f>
        <v/>
      </c>
      <c r="N35" s="7" t="n"/>
      <c r="O35" s="7" t="n"/>
      <c r="P35" s="7" t="n"/>
      <c r="Q35" s="7" t="n"/>
      <c r="R35" s="7" t="n"/>
      <c r="S35" s="42" t="n"/>
      <c r="T35" s="7" t="n"/>
    </row>
    <row r="36">
      <c r="B36" s="7">
        <f>IF(C36="","","INC-"&amp;TEXT(r-4,"000"))</f>
        <v/>
      </c>
      <c r="C36" s="42" t="n"/>
      <c r="D36" s="7" t="n"/>
      <c r="E36" s="7" t="n"/>
      <c r="F36" s="7" t="n"/>
      <c r="G36" s="7" t="n"/>
      <c r="H36" s="7" t="n"/>
      <c r="I36" s="7" t="n"/>
      <c r="J36" s="7" t="n"/>
      <c r="K36" s="7" t="n"/>
      <c r="L36" s="5">
        <f>IF(E36="","",IF(OR(E36="Medical Treatment (MTC)",E36="Restricted Work (RWC)",E36="Lost Time Injury (LTI)",E36="Recordable Case",E36="Fatality"),"Y",IF(L36="Y","Y","N")))</f>
        <v/>
      </c>
      <c r="M36" s="5">
        <f>IF(E36="","",IF(OR(E36="Lost Time Injury (LTI)",E36="Fatality"),"Y","N"))</f>
        <v/>
      </c>
      <c r="N36" s="7" t="n"/>
      <c r="O36" s="7" t="n"/>
      <c r="P36" s="7" t="n"/>
      <c r="Q36" s="7" t="n"/>
      <c r="R36" s="7" t="n"/>
      <c r="S36" s="42" t="n"/>
      <c r="T36" s="7" t="n"/>
    </row>
    <row r="37">
      <c r="B37" s="7">
        <f>IF(C37="","","INC-"&amp;TEXT(r-4,"000"))</f>
        <v/>
      </c>
      <c r="C37" s="42" t="n"/>
      <c r="D37" s="7" t="n"/>
      <c r="E37" s="7" t="n"/>
      <c r="F37" s="7" t="n"/>
      <c r="G37" s="7" t="n"/>
      <c r="H37" s="7" t="n"/>
      <c r="I37" s="7" t="n"/>
      <c r="J37" s="7" t="n"/>
      <c r="K37" s="7" t="n"/>
      <c r="L37" s="5">
        <f>IF(E37="","",IF(OR(E37="Medical Treatment (MTC)",E37="Restricted Work (RWC)",E37="Lost Time Injury (LTI)",E37="Recordable Case",E37="Fatality"),"Y",IF(L37="Y","Y","N")))</f>
        <v/>
      </c>
      <c r="M37" s="5">
        <f>IF(E37="","",IF(OR(E37="Lost Time Injury (LTI)",E37="Fatality"),"Y","N"))</f>
        <v/>
      </c>
      <c r="N37" s="7" t="n"/>
      <c r="O37" s="7" t="n"/>
      <c r="P37" s="7" t="n"/>
      <c r="Q37" s="7" t="n"/>
      <c r="R37" s="7" t="n"/>
      <c r="S37" s="42" t="n"/>
      <c r="T37" s="7" t="n"/>
    </row>
    <row r="38">
      <c r="B38" s="7">
        <f>IF(C38="","","INC-"&amp;TEXT(r-4,"000"))</f>
        <v/>
      </c>
      <c r="C38" s="42" t="n"/>
      <c r="D38" s="7" t="n"/>
      <c r="E38" s="7" t="n"/>
      <c r="F38" s="7" t="n"/>
      <c r="G38" s="7" t="n"/>
      <c r="H38" s="7" t="n"/>
      <c r="I38" s="7" t="n"/>
      <c r="J38" s="7" t="n"/>
      <c r="K38" s="7" t="n"/>
      <c r="L38" s="5">
        <f>IF(E38="","",IF(OR(E38="Medical Treatment (MTC)",E38="Restricted Work (RWC)",E38="Lost Time Injury (LTI)",E38="Recordable Case",E38="Fatality"),"Y",IF(L38="Y","Y","N")))</f>
        <v/>
      </c>
      <c r="M38" s="5">
        <f>IF(E38="","",IF(OR(E38="Lost Time Injury (LTI)",E38="Fatality"),"Y","N"))</f>
        <v/>
      </c>
      <c r="N38" s="7" t="n"/>
      <c r="O38" s="7" t="n"/>
      <c r="P38" s="7" t="n"/>
      <c r="Q38" s="7" t="n"/>
      <c r="R38" s="7" t="n"/>
      <c r="S38" s="42" t="n"/>
      <c r="T38" s="7" t="n"/>
    </row>
    <row r="39">
      <c r="B39" s="7">
        <f>IF(C39="","","INC-"&amp;TEXT(r-4,"000"))</f>
        <v/>
      </c>
      <c r="C39" s="42" t="n"/>
      <c r="D39" s="7" t="n"/>
      <c r="E39" s="7" t="n"/>
      <c r="F39" s="7" t="n"/>
      <c r="G39" s="7" t="n"/>
      <c r="H39" s="7" t="n"/>
      <c r="I39" s="7" t="n"/>
      <c r="J39" s="7" t="n"/>
      <c r="K39" s="7" t="n"/>
      <c r="L39" s="5">
        <f>IF(E39="","",IF(OR(E39="Medical Treatment (MTC)",E39="Restricted Work (RWC)",E39="Lost Time Injury (LTI)",E39="Recordable Case",E39="Fatality"),"Y",IF(L39="Y","Y","N")))</f>
        <v/>
      </c>
      <c r="M39" s="5">
        <f>IF(E39="","",IF(OR(E39="Lost Time Injury (LTI)",E39="Fatality"),"Y","N"))</f>
        <v/>
      </c>
      <c r="N39" s="7" t="n"/>
      <c r="O39" s="7" t="n"/>
      <c r="P39" s="7" t="n"/>
      <c r="Q39" s="7" t="n"/>
      <c r="R39" s="7" t="n"/>
      <c r="S39" s="42" t="n"/>
      <c r="T39" s="7" t="n"/>
    </row>
    <row r="40">
      <c r="B40" s="7">
        <f>IF(C40="","","INC-"&amp;TEXT(r-4,"000"))</f>
        <v/>
      </c>
      <c r="C40" s="42" t="n"/>
      <c r="D40" s="7" t="n"/>
      <c r="E40" s="7" t="n"/>
      <c r="F40" s="7" t="n"/>
      <c r="G40" s="7" t="n"/>
      <c r="H40" s="7" t="n"/>
      <c r="I40" s="7" t="n"/>
      <c r="J40" s="7" t="n"/>
      <c r="K40" s="7" t="n"/>
      <c r="L40" s="5">
        <f>IF(E40="","",IF(OR(E40="Medical Treatment (MTC)",E40="Restricted Work (RWC)",E40="Lost Time Injury (LTI)",E40="Recordable Case",E40="Fatality"),"Y",IF(L40="Y","Y","N")))</f>
        <v/>
      </c>
      <c r="M40" s="5">
        <f>IF(E40="","",IF(OR(E40="Lost Time Injury (LTI)",E40="Fatality"),"Y","N"))</f>
        <v/>
      </c>
      <c r="N40" s="7" t="n"/>
      <c r="O40" s="7" t="n"/>
      <c r="P40" s="7" t="n"/>
      <c r="Q40" s="7" t="n"/>
      <c r="R40" s="7" t="n"/>
      <c r="S40" s="42" t="n"/>
      <c r="T40" s="7" t="n"/>
    </row>
    <row r="41">
      <c r="B41" s="7">
        <f>IF(C41="","","INC-"&amp;TEXT(r-4,"000"))</f>
        <v/>
      </c>
      <c r="C41" s="42" t="n"/>
      <c r="D41" s="7" t="n"/>
      <c r="E41" s="7" t="n"/>
      <c r="F41" s="7" t="n"/>
      <c r="G41" s="7" t="n"/>
      <c r="H41" s="7" t="n"/>
      <c r="I41" s="7" t="n"/>
      <c r="J41" s="7" t="n"/>
      <c r="K41" s="7" t="n"/>
      <c r="L41" s="5">
        <f>IF(E41="","",IF(OR(E41="Medical Treatment (MTC)",E41="Restricted Work (RWC)",E41="Lost Time Injury (LTI)",E41="Recordable Case",E41="Fatality"),"Y",IF(L41="Y","Y","N")))</f>
        <v/>
      </c>
      <c r="M41" s="5">
        <f>IF(E41="","",IF(OR(E41="Lost Time Injury (LTI)",E41="Fatality"),"Y","N"))</f>
        <v/>
      </c>
      <c r="N41" s="7" t="n"/>
      <c r="O41" s="7" t="n"/>
      <c r="P41" s="7" t="n"/>
      <c r="Q41" s="7" t="n"/>
      <c r="R41" s="7" t="n"/>
      <c r="S41" s="42" t="n"/>
      <c r="T41" s="7" t="n"/>
    </row>
    <row r="42">
      <c r="B42" s="7">
        <f>IF(C42="","","INC-"&amp;TEXT(r-4,"000"))</f>
        <v/>
      </c>
      <c r="C42" s="42" t="n"/>
      <c r="D42" s="7" t="n"/>
      <c r="E42" s="7" t="n"/>
      <c r="F42" s="7" t="n"/>
      <c r="G42" s="7" t="n"/>
      <c r="H42" s="7" t="n"/>
      <c r="I42" s="7" t="n"/>
      <c r="J42" s="7" t="n"/>
      <c r="K42" s="7" t="n"/>
      <c r="L42" s="5">
        <f>IF(E42="","",IF(OR(E42="Medical Treatment (MTC)",E42="Restricted Work (RWC)",E42="Lost Time Injury (LTI)",E42="Recordable Case",E42="Fatality"),"Y",IF(L42="Y","Y","N")))</f>
        <v/>
      </c>
      <c r="M42" s="5">
        <f>IF(E42="","",IF(OR(E42="Lost Time Injury (LTI)",E42="Fatality"),"Y","N"))</f>
        <v/>
      </c>
      <c r="N42" s="7" t="n"/>
      <c r="O42" s="7" t="n"/>
      <c r="P42" s="7" t="n"/>
      <c r="Q42" s="7" t="n"/>
      <c r="R42" s="7" t="n"/>
      <c r="S42" s="42" t="n"/>
      <c r="T42" s="7" t="n"/>
    </row>
    <row r="43">
      <c r="B43" s="7">
        <f>IF(C43="","","INC-"&amp;TEXT(r-4,"000"))</f>
        <v/>
      </c>
      <c r="C43" s="42" t="n"/>
      <c r="D43" s="7" t="n"/>
      <c r="E43" s="7" t="n"/>
      <c r="F43" s="7" t="n"/>
      <c r="G43" s="7" t="n"/>
      <c r="H43" s="7" t="n"/>
      <c r="I43" s="7" t="n"/>
      <c r="J43" s="7" t="n"/>
      <c r="K43" s="7" t="n"/>
      <c r="L43" s="5">
        <f>IF(E43="","",IF(OR(E43="Medical Treatment (MTC)",E43="Restricted Work (RWC)",E43="Lost Time Injury (LTI)",E43="Recordable Case",E43="Fatality"),"Y",IF(L43="Y","Y","N")))</f>
        <v/>
      </c>
      <c r="M43" s="5">
        <f>IF(E43="","",IF(OR(E43="Lost Time Injury (LTI)",E43="Fatality"),"Y","N"))</f>
        <v/>
      </c>
      <c r="N43" s="7" t="n"/>
      <c r="O43" s="7" t="n"/>
      <c r="P43" s="7" t="n"/>
      <c r="Q43" s="7" t="n"/>
      <c r="R43" s="7" t="n"/>
      <c r="S43" s="42" t="n"/>
      <c r="T43" s="7" t="n"/>
    </row>
    <row r="44">
      <c r="B44" s="7">
        <f>IF(C44="","","INC-"&amp;TEXT(r-4,"000"))</f>
        <v/>
      </c>
      <c r="C44" s="42" t="n"/>
      <c r="D44" s="7" t="n"/>
      <c r="E44" s="7" t="n"/>
      <c r="F44" s="7" t="n"/>
      <c r="G44" s="7" t="n"/>
      <c r="H44" s="7" t="n"/>
      <c r="I44" s="7" t="n"/>
      <c r="J44" s="7" t="n"/>
      <c r="K44" s="7" t="n"/>
      <c r="L44" s="5">
        <f>IF(E44="","",IF(OR(E44="Medical Treatment (MTC)",E44="Restricted Work (RWC)",E44="Lost Time Injury (LTI)",E44="Recordable Case",E44="Fatality"),"Y",IF(L44="Y","Y","N")))</f>
        <v/>
      </c>
      <c r="M44" s="5">
        <f>IF(E44="","",IF(OR(E44="Lost Time Injury (LTI)",E44="Fatality"),"Y","N"))</f>
        <v/>
      </c>
      <c r="N44" s="7" t="n"/>
      <c r="O44" s="7" t="n"/>
      <c r="P44" s="7" t="n"/>
      <c r="Q44" s="7" t="n"/>
      <c r="R44" s="7" t="n"/>
      <c r="S44" s="42" t="n"/>
      <c r="T44" s="7" t="n"/>
    </row>
    <row r="45">
      <c r="B45" s="7">
        <f>IF(C45="","","INC-"&amp;TEXT(r-4,"000"))</f>
        <v/>
      </c>
      <c r="C45" s="42" t="n"/>
      <c r="D45" s="7" t="n"/>
      <c r="E45" s="7" t="n"/>
      <c r="F45" s="7" t="n"/>
      <c r="G45" s="7" t="n"/>
      <c r="H45" s="7" t="n"/>
      <c r="I45" s="7" t="n"/>
      <c r="J45" s="7" t="n"/>
      <c r="K45" s="7" t="n"/>
      <c r="L45" s="5">
        <f>IF(E45="","",IF(OR(E45="Medical Treatment (MTC)",E45="Restricted Work (RWC)",E45="Lost Time Injury (LTI)",E45="Recordable Case",E45="Fatality"),"Y",IF(L45="Y","Y","N")))</f>
        <v/>
      </c>
      <c r="M45" s="5">
        <f>IF(E45="","",IF(OR(E45="Lost Time Injury (LTI)",E45="Fatality"),"Y","N"))</f>
        <v/>
      </c>
      <c r="N45" s="7" t="n"/>
      <c r="O45" s="7" t="n"/>
      <c r="P45" s="7" t="n"/>
      <c r="Q45" s="7" t="n"/>
      <c r="R45" s="7" t="n"/>
      <c r="S45" s="42" t="n"/>
      <c r="T45" s="7" t="n"/>
    </row>
    <row r="46">
      <c r="B46" s="7">
        <f>IF(C46="","","INC-"&amp;TEXT(r-4,"000"))</f>
        <v/>
      </c>
      <c r="C46" s="42" t="n"/>
      <c r="D46" s="7" t="n"/>
      <c r="E46" s="7" t="n"/>
      <c r="F46" s="7" t="n"/>
      <c r="G46" s="7" t="n"/>
      <c r="H46" s="7" t="n"/>
      <c r="I46" s="7" t="n"/>
      <c r="J46" s="7" t="n"/>
      <c r="K46" s="7" t="n"/>
      <c r="L46" s="5">
        <f>IF(E46="","",IF(OR(E46="Medical Treatment (MTC)",E46="Restricted Work (RWC)",E46="Lost Time Injury (LTI)",E46="Recordable Case",E46="Fatality"),"Y",IF(L46="Y","Y","N")))</f>
        <v/>
      </c>
      <c r="M46" s="5">
        <f>IF(E46="","",IF(OR(E46="Lost Time Injury (LTI)",E46="Fatality"),"Y","N"))</f>
        <v/>
      </c>
      <c r="N46" s="7" t="n"/>
      <c r="O46" s="7" t="n"/>
      <c r="P46" s="7" t="n"/>
      <c r="Q46" s="7" t="n"/>
      <c r="R46" s="7" t="n"/>
      <c r="S46" s="42" t="n"/>
      <c r="T46" s="7" t="n"/>
    </row>
    <row r="47">
      <c r="B47" s="7">
        <f>IF(C47="","","INC-"&amp;TEXT(r-4,"000"))</f>
        <v/>
      </c>
      <c r="C47" s="42" t="n"/>
      <c r="D47" s="7" t="n"/>
      <c r="E47" s="7" t="n"/>
      <c r="F47" s="7" t="n"/>
      <c r="G47" s="7" t="n"/>
      <c r="H47" s="7" t="n"/>
      <c r="I47" s="7" t="n"/>
      <c r="J47" s="7" t="n"/>
      <c r="K47" s="7" t="n"/>
      <c r="L47" s="5">
        <f>IF(E47="","",IF(OR(E47="Medical Treatment (MTC)",E47="Restricted Work (RWC)",E47="Lost Time Injury (LTI)",E47="Recordable Case",E47="Fatality"),"Y",IF(L47="Y","Y","N")))</f>
        <v/>
      </c>
      <c r="M47" s="5">
        <f>IF(E47="","",IF(OR(E47="Lost Time Injury (LTI)",E47="Fatality"),"Y","N"))</f>
        <v/>
      </c>
      <c r="N47" s="7" t="n"/>
      <c r="O47" s="7" t="n"/>
      <c r="P47" s="7" t="n"/>
      <c r="Q47" s="7" t="n"/>
      <c r="R47" s="7" t="n"/>
      <c r="S47" s="42" t="n"/>
      <c r="T47" s="7" t="n"/>
    </row>
    <row r="48">
      <c r="B48" s="7">
        <f>IF(C48="","","INC-"&amp;TEXT(r-4,"000"))</f>
        <v/>
      </c>
      <c r="C48" s="42" t="n"/>
      <c r="D48" s="7" t="n"/>
      <c r="E48" s="7" t="n"/>
      <c r="F48" s="7" t="n"/>
      <c r="G48" s="7" t="n"/>
      <c r="H48" s="7" t="n"/>
      <c r="I48" s="7" t="n"/>
      <c r="J48" s="7" t="n"/>
      <c r="K48" s="7" t="n"/>
      <c r="L48" s="5">
        <f>IF(E48="","",IF(OR(E48="Medical Treatment (MTC)",E48="Restricted Work (RWC)",E48="Lost Time Injury (LTI)",E48="Recordable Case",E48="Fatality"),"Y",IF(L48="Y","Y","N")))</f>
        <v/>
      </c>
      <c r="M48" s="5">
        <f>IF(E48="","",IF(OR(E48="Lost Time Injury (LTI)",E48="Fatality"),"Y","N"))</f>
        <v/>
      </c>
      <c r="N48" s="7" t="n"/>
      <c r="O48" s="7" t="n"/>
      <c r="P48" s="7" t="n"/>
      <c r="Q48" s="7" t="n"/>
      <c r="R48" s="7" t="n"/>
      <c r="S48" s="42" t="n"/>
      <c r="T48" s="7" t="n"/>
    </row>
    <row r="49">
      <c r="B49" s="7">
        <f>IF(C49="","","INC-"&amp;TEXT(r-4,"000"))</f>
        <v/>
      </c>
      <c r="C49" s="42" t="n"/>
      <c r="D49" s="7" t="n"/>
      <c r="E49" s="7" t="n"/>
      <c r="F49" s="7" t="n"/>
      <c r="G49" s="7" t="n"/>
      <c r="H49" s="7" t="n"/>
      <c r="I49" s="7" t="n"/>
      <c r="J49" s="7" t="n"/>
      <c r="K49" s="7" t="n"/>
      <c r="L49" s="5">
        <f>IF(E49="","",IF(OR(E49="Medical Treatment (MTC)",E49="Restricted Work (RWC)",E49="Lost Time Injury (LTI)",E49="Recordable Case",E49="Fatality"),"Y",IF(L49="Y","Y","N")))</f>
        <v/>
      </c>
      <c r="M49" s="5">
        <f>IF(E49="","",IF(OR(E49="Lost Time Injury (LTI)",E49="Fatality"),"Y","N"))</f>
        <v/>
      </c>
      <c r="N49" s="7" t="n"/>
      <c r="O49" s="7" t="n"/>
      <c r="P49" s="7" t="n"/>
      <c r="Q49" s="7" t="n"/>
      <c r="R49" s="7" t="n"/>
      <c r="S49" s="42" t="n"/>
      <c r="T49" s="7" t="n"/>
    </row>
    <row r="50">
      <c r="B50" s="7">
        <f>IF(C50="","","INC-"&amp;TEXT(r-4,"000"))</f>
        <v/>
      </c>
      <c r="C50" s="42" t="n"/>
      <c r="D50" s="7" t="n"/>
      <c r="E50" s="7" t="n"/>
      <c r="F50" s="7" t="n"/>
      <c r="G50" s="7" t="n"/>
      <c r="H50" s="7" t="n"/>
      <c r="I50" s="7" t="n"/>
      <c r="J50" s="7" t="n"/>
      <c r="K50" s="7" t="n"/>
      <c r="L50" s="5">
        <f>IF(E50="","",IF(OR(E50="Medical Treatment (MTC)",E50="Restricted Work (RWC)",E50="Lost Time Injury (LTI)",E50="Recordable Case",E50="Fatality"),"Y",IF(L50="Y","Y","N")))</f>
        <v/>
      </c>
      <c r="M50" s="5">
        <f>IF(E50="","",IF(OR(E50="Lost Time Injury (LTI)",E50="Fatality"),"Y","N"))</f>
        <v/>
      </c>
      <c r="N50" s="7" t="n"/>
      <c r="O50" s="7" t="n"/>
      <c r="P50" s="7" t="n"/>
      <c r="Q50" s="7" t="n"/>
      <c r="R50" s="7" t="n"/>
      <c r="S50" s="42" t="n"/>
      <c r="T50" s="7" t="n"/>
    </row>
    <row r="51">
      <c r="B51" s="7">
        <f>IF(C51="","","INC-"&amp;TEXT(r-4,"000"))</f>
        <v/>
      </c>
      <c r="C51" s="42" t="n"/>
      <c r="D51" s="7" t="n"/>
      <c r="E51" s="7" t="n"/>
      <c r="F51" s="7" t="n"/>
      <c r="G51" s="7" t="n"/>
      <c r="H51" s="7" t="n"/>
      <c r="I51" s="7" t="n"/>
      <c r="J51" s="7" t="n"/>
      <c r="K51" s="7" t="n"/>
      <c r="L51" s="5">
        <f>IF(E51="","",IF(OR(E51="Medical Treatment (MTC)",E51="Restricted Work (RWC)",E51="Lost Time Injury (LTI)",E51="Recordable Case",E51="Fatality"),"Y",IF(L51="Y","Y","N")))</f>
        <v/>
      </c>
      <c r="M51" s="5">
        <f>IF(E51="","",IF(OR(E51="Lost Time Injury (LTI)",E51="Fatality"),"Y","N"))</f>
        <v/>
      </c>
      <c r="N51" s="7" t="n"/>
      <c r="O51" s="7" t="n"/>
      <c r="P51" s="7" t="n"/>
      <c r="Q51" s="7" t="n"/>
      <c r="R51" s="7" t="n"/>
      <c r="S51" s="42" t="n"/>
      <c r="T51" s="7" t="n"/>
    </row>
    <row r="52">
      <c r="B52" s="7">
        <f>IF(C52="","","INC-"&amp;TEXT(r-4,"000"))</f>
        <v/>
      </c>
      <c r="C52" s="42" t="n"/>
      <c r="D52" s="7" t="n"/>
      <c r="E52" s="7" t="n"/>
      <c r="F52" s="7" t="n"/>
      <c r="G52" s="7" t="n"/>
      <c r="H52" s="7" t="n"/>
      <c r="I52" s="7" t="n"/>
      <c r="J52" s="7" t="n"/>
      <c r="K52" s="7" t="n"/>
      <c r="L52" s="5">
        <f>IF(E52="","",IF(OR(E52="Medical Treatment (MTC)",E52="Restricted Work (RWC)",E52="Lost Time Injury (LTI)",E52="Recordable Case",E52="Fatality"),"Y",IF(L52="Y","Y","N")))</f>
        <v/>
      </c>
      <c r="M52" s="5">
        <f>IF(E52="","",IF(OR(E52="Lost Time Injury (LTI)",E52="Fatality"),"Y","N"))</f>
        <v/>
      </c>
      <c r="N52" s="7" t="n"/>
      <c r="O52" s="7" t="n"/>
      <c r="P52" s="7" t="n"/>
      <c r="Q52" s="7" t="n"/>
      <c r="R52" s="7" t="n"/>
      <c r="S52" s="42" t="n"/>
      <c r="T52" s="7" t="n"/>
    </row>
    <row r="53">
      <c r="B53" s="7">
        <f>IF(C53="","","INC-"&amp;TEXT(r-4,"000"))</f>
        <v/>
      </c>
      <c r="C53" s="42" t="n"/>
      <c r="D53" s="7" t="n"/>
      <c r="E53" s="7" t="n"/>
      <c r="F53" s="7" t="n"/>
      <c r="G53" s="7" t="n"/>
      <c r="H53" s="7" t="n"/>
      <c r="I53" s="7" t="n"/>
      <c r="J53" s="7" t="n"/>
      <c r="K53" s="7" t="n"/>
      <c r="L53" s="5">
        <f>IF(E53="","",IF(OR(E53="Medical Treatment (MTC)",E53="Restricted Work (RWC)",E53="Lost Time Injury (LTI)",E53="Recordable Case",E53="Fatality"),"Y",IF(L53="Y","Y","N")))</f>
        <v/>
      </c>
      <c r="M53" s="5">
        <f>IF(E53="","",IF(OR(E53="Lost Time Injury (LTI)",E53="Fatality"),"Y","N"))</f>
        <v/>
      </c>
      <c r="N53" s="7" t="n"/>
      <c r="O53" s="7" t="n"/>
      <c r="P53" s="7" t="n"/>
      <c r="Q53" s="7" t="n"/>
      <c r="R53" s="7" t="n"/>
      <c r="S53" s="42" t="n"/>
      <c r="T53" s="7" t="n"/>
    </row>
    <row r="54">
      <c r="B54" s="7">
        <f>IF(C54="","","INC-"&amp;TEXT(r-4,"000"))</f>
        <v/>
      </c>
      <c r="C54" s="42" t="n"/>
      <c r="D54" s="7" t="n"/>
      <c r="E54" s="7" t="n"/>
      <c r="F54" s="7" t="n"/>
      <c r="G54" s="7" t="n"/>
      <c r="H54" s="7" t="n"/>
      <c r="I54" s="7" t="n"/>
      <c r="J54" s="7" t="n"/>
      <c r="K54" s="7" t="n"/>
      <c r="L54" s="5">
        <f>IF(E54="","",IF(OR(E54="Medical Treatment (MTC)",E54="Restricted Work (RWC)",E54="Lost Time Injury (LTI)",E54="Recordable Case",E54="Fatality"),"Y",IF(L54="Y","Y","N")))</f>
        <v/>
      </c>
      <c r="M54" s="5">
        <f>IF(E54="","",IF(OR(E54="Lost Time Injury (LTI)",E54="Fatality"),"Y","N"))</f>
        <v/>
      </c>
      <c r="N54" s="7" t="n"/>
      <c r="O54" s="7" t="n"/>
      <c r="P54" s="7" t="n"/>
      <c r="Q54" s="7" t="n"/>
      <c r="R54" s="7" t="n"/>
      <c r="S54" s="42" t="n"/>
      <c r="T54" s="7" t="n"/>
    </row>
    <row r="55">
      <c r="B55" s="7">
        <f>IF(C55="","","INC-"&amp;TEXT(r-4,"000"))</f>
        <v/>
      </c>
      <c r="C55" s="42" t="n"/>
      <c r="D55" s="7" t="n"/>
      <c r="E55" s="7" t="n"/>
      <c r="F55" s="7" t="n"/>
      <c r="G55" s="7" t="n"/>
      <c r="H55" s="7" t="n"/>
      <c r="I55" s="7" t="n"/>
      <c r="J55" s="7" t="n"/>
      <c r="K55" s="7" t="n"/>
      <c r="L55" s="5">
        <f>IF(E55="","",IF(OR(E55="Medical Treatment (MTC)",E55="Restricted Work (RWC)",E55="Lost Time Injury (LTI)",E55="Recordable Case",E55="Fatality"),"Y",IF(L55="Y","Y","N")))</f>
        <v/>
      </c>
      <c r="M55" s="5">
        <f>IF(E55="","",IF(OR(E55="Lost Time Injury (LTI)",E55="Fatality"),"Y","N"))</f>
        <v/>
      </c>
      <c r="N55" s="7" t="n"/>
      <c r="O55" s="7" t="n"/>
      <c r="P55" s="7" t="n"/>
      <c r="Q55" s="7" t="n"/>
      <c r="R55" s="7" t="n"/>
      <c r="S55" s="42" t="n"/>
      <c r="T55" s="7" t="n"/>
    </row>
    <row r="56">
      <c r="B56" s="7">
        <f>IF(C56="","","INC-"&amp;TEXT(r-4,"000"))</f>
        <v/>
      </c>
      <c r="C56" s="42" t="n"/>
      <c r="D56" s="7" t="n"/>
      <c r="E56" s="7" t="n"/>
      <c r="F56" s="7" t="n"/>
      <c r="G56" s="7" t="n"/>
      <c r="H56" s="7" t="n"/>
      <c r="I56" s="7" t="n"/>
      <c r="J56" s="7" t="n"/>
      <c r="K56" s="7" t="n"/>
      <c r="L56" s="5">
        <f>IF(E56="","",IF(OR(E56="Medical Treatment (MTC)",E56="Restricted Work (RWC)",E56="Lost Time Injury (LTI)",E56="Recordable Case",E56="Fatality"),"Y",IF(L56="Y","Y","N")))</f>
        <v/>
      </c>
      <c r="M56" s="5">
        <f>IF(E56="","",IF(OR(E56="Lost Time Injury (LTI)",E56="Fatality"),"Y","N"))</f>
        <v/>
      </c>
      <c r="N56" s="7" t="n"/>
      <c r="O56" s="7" t="n"/>
      <c r="P56" s="7" t="n"/>
      <c r="Q56" s="7" t="n"/>
      <c r="R56" s="7" t="n"/>
      <c r="S56" s="42" t="n"/>
      <c r="T56" s="7" t="n"/>
    </row>
    <row r="57">
      <c r="B57" s="7">
        <f>IF(C57="","","INC-"&amp;TEXT(r-4,"000"))</f>
        <v/>
      </c>
      <c r="C57" s="42" t="n"/>
      <c r="D57" s="7" t="n"/>
      <c r="E57" s="7" t="n"/>
      <c r="F57" s="7" t="n"/>
      <c r="G57" s="7" t="n"/>
      <c r="H57" s="7" t="n"/>
      <c r="I57" s="7" t="n"/>
      <c r="J57" s="7" t="n"/>
      <c r="K57" s="7" t="n"/>
      <c r="L57" s="5">
        <f>IF(E57="","",IF(OR(E57="Medical Treatment (MTC)",E57="Restricted Work (RWC)",E57="Lost Time Injury (LTI)",E57="Recordable Case",E57="Fatality"),"Y",IF(L57="Y","Y","N")))</f>
        <v/>
      </c>
      <c r="M57" s="5">
        <f>IF(E57="","",IF(OR(E57="Lost Time Injury (LTI)",E57="Fatality"),"Y","N"))</f>
        <v/>
      </c>
      <c r="N57" s="7" t="n"/>
      <c r="O57" s="7" t="n"/>
      <c r="P57" s="7" t="n"/>
      <c r="Q57" s="7" t="n"/>
      <c r="R57" s="7" t="n"/>
      <c r="S57" s="42" t="n"/>
      <c r="T57" s="7" t="n"/>
    </row>
    <row r="58">
      <c r="B58" s="7">
        <f>IF(C58="","","INC-"&amp;TEXT(r-4,"000"))</f>
        <v/>
      </c>
      <c r="C58" s="42" t="n"/>
      <c r="D58" s="7" t="n"/>
      <c r="E58" s="7" t="n"/>
      <c r="F58" s="7" t="n"/>
      <c r="G58" s="7" t="n"/>
      <c r="H58" s="7" t="n"/>
      <c r="I58" s="7" t="n"/>
      <c r="J58" s="7" t="n"/>
      <c r="K58" s="7" t="n"/>
      <c r="L58" s="5">
        <f>IF(E58="","",IF(OR(E58="Medical Treatment (MTC)",E58="Restricted Work (RWC)",E58="Lost Time Injury (LTI)",E58="Recordable Case",E58="Fatality"),"Y",IF(L58="Y","Y","N")))</f>
        <v/>
      </c>
      <c r="M58" s="5">
        <f>IF(E58="","",IF(OR(E58="Lost Time Injury (LTI)",E58="Fatality"),"Y","N"))</f>
        <v/>
      </c>
      <c r="N58" s="7" t="n"/>
      <c r="O58" s="7" t="n"/>
      <c r="P58" s="7" t="n"/>
      <c r="Q58" s="7" t="n"/>
      <c r="R58" s="7" t="n"/>
      <c r="S58" s="42" t="n"/>
      <c r="T58" s="7" t="n"/>
    </row>
    <row r="59">
      <c r="B59" s="7">
        <f>IF(C59="","","INC-"&amp;TEXT(r-4,"000"))</f>
        <v/>
      </c>
      <c r="C59" s="42" t="n"/>
      <c r="D59" s="7" t="n"/>
      <c r="E59" s="7" t="n"/>
      <c r="F59" s="7" t="n"/>
      <c r="G59" s="7" t="n"/>
      <c r="H59" s="7" t="n"/>
      <c r="I59" s="7" t="n"/>
      <c r="J59" s="7" t="n"/>
      <c r="K59" s="7" t="n"/>
      <c r="L59" s="5">
        <f>IF(E59="","",IF(OR(E59="Medical Treatment (MTC)",E59="Restricted Work (RWC)",E59="Lost Time Injury (LTI)",E59="Recordable Case",E59="Fatality"),"Y",IF(L59="Y","Y","N")))</f>
        <v/>
      </c>
      <c r="M59" s="5">
        <f>IF(E59="","",IF(OR(E59="Lost Time Injury (LTI)",E59="Fatality"),"Y","N"))</f>
        <v/>
      </c>
      <c r="N59" s="7" t="n"/>
      <c r="O59" s="7" t="n"/>
      <c r="P59" s="7" t="n"/>
      <c r="Q59" s="7" t="n"/>
      <c r="R59" s="7" t="n"/>
      <c r="S59" s="42" t="n"/>
      <c r="T59" s="7" t="n"/>
    </row>
    <row r="60">
      <c r="B60" s="7">
        <f>IF(C60="","","INC-"&amp;TEXT(r-4,"000"))</f>
        <v/>
      </c>
      <c r="C60" s="42" t="n"/>
      <c r="D60" s="7" t="n"/>
      <c r="E60" s="7" t="n"/>
      <c r="F60" s="7" t="n"/>
      <c r="G60" s="7" t="n"/>
      <c r="H60" s="7" t="n"/>
      <c r="I60" s="7" t="n"/>
      <c r="J60" s="7" t="n"/>
      <c r="K60" s="7" t="n"/>
      <c r="L60" s="5">
        <f>IF(E60="","",IF(OR(E60="Medical Treatment (MTC)",E60="Restricted Work (RWC)",E60="Lost Time Injury (LTI)",E60="Recordable Case",E60="Fatality"),"Y",IF(L60="Y","Y","N")))</f>
        <v/>
      </c>
      <c r="M60" s="5">
        <f>IF(E60="","",IF(OR(E60="Lost Time Injury (LTI)",E60="Fatality"),"Y","N"))</f>
        <v/>
      </c>
      <c r="N60" s="7" t="n"/>
      <c r="O60" s="7" t="n"/>
      <c r="P60" s="7" t="n"/>
      <c r="Q60" s="7" t="n"/>
      <c r="R60" s="7" t="n"/>
      <c r="S60" s="42" t="n"/>
      <c r="T60" s="7" t="n"/>
    </row>
    <row r="61">
      <c r="B61" s="7">
        <f>IF(C61="","","INC-"&amp;TEXT(r-4,"000"))</f>
        <v/>
      </c>
      <c r="C61" s="42" t="n"/>
      <c r="D61" s="7" t="n"/>
      <c r="E61" s="7" t="n"/>
      <c r="F61" s="7" t="n"/>
      <c r="G61" s="7" t="n"/>
      <c r="H61" s="7" t="n"/>
      <c r="I61" s="7" t="n"/>
      <c r="J61" s="7" t="n"/>
      <c r="K61" s="7" t="n"/>
      <c r="L61" s="5">
        <f>IF(E61="","",IF(OR(E61="Medical Treatment (MTC)",E61="Restricted Work (RWC)",E61="Lost Time Injury (LTI)",E61="Recordable Case",E61="Fatality"),"Y",IF(L61="Y","Y","N")))</f>
        <v/>
      </c>
      <c r="M61" s="5">
        <f>IF(E61="","",IF(OR(E61="Lost Time Injury (LTI)",E61="Fatality"),"Y","N"))</f>
        <v/>
      </c>
      <c r="N61" s="7" t="n"/>
      <c r="O61" s="7" t="n"/>
      <c r="P61" s="7" t="n"/>
      <c r="Q61" s="7" t="n"/>
      <c r="R61" s="7" t="n"/>
      <c r="S61" s="42" t="n"/>
      <c r="T61" s="7" t="n"/>
    </row>
    <row r="62">
      <c r="B62" s="7">
        <f>IF(C62="","","INC-"&amp;TEXT(r-4,"000"))</f>
        <v/>
      </c>
      <c r="C62" s="42" t="n"/>
      <c r="D62" s="7" t="n"/>
      <c r="E62" s="7" t="n"/>
      <c r="F62" s="7" t="n"/>
      <c r="G62" s="7" t="n"/>
      <c r="H62" s="7" t="n"/>
      <c r="I62" s="7" t="n"/>
      <c r="J62" s="7" t="n"/>
      <c r="K62" s="7" t="n"/>
      <c r="L62" s="5">
        <f>IF(E62="","",IF(OR(E62="Medical Treatment (MTC)",E62="Restricted Work (RWC)",E62="Lost Time Injury (LTI)",E62="Recordable Case",E62="Fatality"),"Y",IF(L62="Y","Y","N")))</f>
        <v/>
      </c>
      <c r="M62" s="5">
        <f>IF(E62="","",IF(OR(E62="Lost Time Injury (LTI)",E62="Fatality"),"Y","N"))</f>
        <v/>
      </c>
      <c r="N62" s="7" t="n"/>
      <c r="O62" s="7" t="n"/>
      <c r="P62" s="7" t="n"/>
      <c r="Q62" s="7" t="n"/>
      <c r="R62" s="7" t="n"/>
      <c r="S62" s="42" t="n"/>
      <c r="T62" s="7" t="n"/>
    </row>
    <row r="63">
      <c r="B63" s="7">
        <f>IF(C63="","","INC-"&amp;TEXT(r-4,"000"))</f>
        <v/>
      </c>
      <c r="C63" s="42" t="n"/>
      <c r="D63" s="7" t="n"/>
      <c r="E63" s="7" t="n"/>
      <c r="F63" s="7" t="n"/>
      <c r="G63" s="7" t="n"/>
      <c r="H63" s="7" t="n"/>
      <c r="I63" s="7" t="n"/>
      <c r="J63" s="7" t="n"/>
      <c r="K63" s="7" t="n"/>
      <c r="L63" s="5">
        <f>IF(E63="","",IF(OR(E63="Medical Treatment (MTC)",E63="Restricted Work (RWC)",E63="Lost Time Injury (LTI)",E63="Recordable Case",E63="Fatality"),"Y",IF(L63="Y","Y","N")))</f>
        <v/>
      </c>
      <c r="M63" s="5">
        <f>IF(E63="","",IF(OR(E63="Lost Time Injury (LTI)",E63="Fatality"),"Y","N"))</f>
        <v/>
      </c>
      <c r="N63" s="7" t="n"/>
      <c r="O63" s="7" t="n"/>
      <c r="P63" s="7" t="n"/>
      <c r="Q63" s="7" t="n"/>
      <c r="R63" s="7" t="n"/>
      <c r="S63" s="42" t="n"/>
      <c r="T63" s="7" t="n"/>
    </row>
    <row r="64">
      <c r="B64" s="7">
        <f>IF(C64="","","INC-"&amp;TEXT(r-4,"000"))</f>
        <v/>
      </c>
      <c r="C64" s="42" t="n"/>
      <c r="D64" s="7" t="n"/>
      <c r="E64" s="7" t="n"/>
      <c r="F64" s="7" t="n"/>
      <c r="G64" s="7" t="n"/>
      <c r="H64" s="7" t="n"/>
      <c r="I64" s="7" t="n"/>
      <c r="J64" s="7" t="n"/>
      <c r="K64" s="7" t="n"/>
      <c r="L64" s="5">
        <f>IF(E64="","",IF(OR(E64="Medical Treatment (MTC)",E64="Restricted Work (RWC)",E64="Lost Time Injury (LTI)",E64="Recordable Case",E64="Fatality"),"Y",IF(L64="Y","Y","N")))</f>
        <v/>
      </c>
      <c r="M64" s="5">
        <f>IF(E64="","",IF(OR(E64="Lost Time Injury (LTI)",E64="Fatality"),"Y","N"))</f>
        <v/>
      </c>
      <c r="N64" s="7" t="n"/>
      <c r="O64" s="7" t="n"/>
      <c r="P64" s="7" t="n"/>
      <c r="Q64" s="7" t="n"/>
      <c r="R64" s="7" t="n"/>
      <c r="S64" s="42" t="n"/>
      <c r="T64" s="7" t="n"/>
    </row>
    <row r="65">
      <c r="B65" s="7">
        <f>IF(C65="","","INC-"&amp;TEXT(r-4,"000"))</f>
        <v/>
      </c>
      <c r="C65" s="42" t="n"/>
      <c r="D65" s="7" t="n"/>
      <c r="E65" s="7" t="n"/>
      <c r="F65" s="7" t="n"/>
      <c r="G65" s="7" t="n"/>
      <c r="H65" s="7" t="n"/>
      <c r="I65" s="7" t="n"/>
      <c r="J65" s="7" t="n"/>
      <c r="K65" s="7" t="n"/>
      <c r="L65" s="5">
        <f>IF(E65="","",IF(OR(E65="Medical Treatment (MTC)",E65="Restricted Work (RWC)",E65="Lost Time Injury (LTI)",E65="Recordable Case",E65="Fatality"),"Y",IF(L65="Y","Y","N")))</f>
        <v/>
      </c>
      <c r="M65" s="5">
        <f>IF(E65="","",IF(OR(E65="Lost Time Injury (LTI)",E65="Fatality"),"Y","N"))</f>
        <v/>
      </c>
      <c r="N65" s="7" t="n"/>
      <c r="O65" s="7" t="n"/>
      <c r="P65" s="7" t="n"/>
      <c r="Q65" s="7" t="n"/>
      <c r="R65" s="7" t="n"/>
      <c r="S65" s="42" t="n"/>
      <c r="T65" s="7" t="n"/>
    </row>
    <row r="66">
      <c r="B66" s="7">
        <f>IF(C66="","","INC-"&amp;TEXT(r-4,"000"))</f>
        <v/>
      </c>
      <c r="C66" s="42" t="n"/>
      <c r="D66" s="7" t="n"/>
      <c r="E66" s="7" t="n"/>
      <c r="F66" s="7" t="n"/>
      <c r="G66" s="7" t="n"/>
      <c r="H66" s="7" t="n"/>
      <c r="I66" s="7" t="n"/>
      <c r="J66" s="7" t="n"/>
      <c r="K66" s="7" t="n"/>
      <c r="L66" s="5">
        <f>IF(E66="","",IF(OR(E66="Medical Treatment (MTC)",E66="Restricted Work (RWC)",E66="Lost Time Injury (LTI)",E66="Recordable Case",E66="Fatality"),"Y",IF(L66="Y","Y","N")))</f>
        <v/>
      </c>
      <c r="M66" s="5">
        <f>IF(E66="","",IF(OR(E66="Lost Time Injury (LTI)",E66="Fatality"),"Y","N"))</f>
        <v/>
      </c>
      <c r="N66" s="7" t="n"/>
      <c r="O66" s="7" t="n"/>
      <c r="P66" s="7" t="n"/>
      <c r="Q66" s="7" t="n"/>
      <c r="R66" s="7" t="n"/>
      <c r="S66" s="42" t="n"/>
      <c r="T66" s="7" t="n"/>
    </row>
    <row r="67">
      <c r="B67" s="7">
        <f>IF(C67="","","INC-"&amp;TEXT(r-4,"000"))</f>
        <v/>
      </c>
      <c r="C67" s="42" t="n"/>
      <c r="D67" s="7" t="n"/>
      <c r="E67" s="7" t="n"/>
      <c r="F67" s="7" t="n"/>
      <c r="G67" s="7" t="n"/>
      <c r="H67" s="7" t="n"/>
      <c r="I67" s="7" t="n"/>
      <c r="J67" s="7" t="n"/>
      <c r="K67" s="7" t="n"/>
      <c r="L67" s="5">
        <f>IF(E67="","",IF(OR(E67="Medical Treatment (MTC)",E67="Restricted Work (RWC)",E67="Lost Time Injury (LTI)",E67="Recordable Case",E67="Fatality"),"Y",IF(L67="Y","Y","N")))</f>
        <v/>
      </c>
      <c r="M67" s="5">
        <f>IF(E67="","",IF(OR(E67="Lost Time Injury (LTI)",E67="Fatality"),"Y","N"))</f>
        <v/>
      </c>
      <c r="N67" s="7" t="n"/>
      <c r="O67" s="7" t="n"/>
      <c r="P67" s="7" t="n"/>
      <c r="Q67" s="7" t="n"/>
      <c r="R67" s="7" t="n"/>
      <c r="S67" s="42" t="n"/>
      <c r="T67" s="7" t="n"/>
    </row>
    <row r="68">
      <c r="B68" s="7">
        <f>IF(C68="","","INC-"&amp;TEXT(r-4,"000"))</f>
        <v/>
      </c>
      <c r="C68" s="42" t="n"/>
      <c r="D68" s="7" t="n"/>
      <c r="E68" s="7" t="n"/>
      <c r="F68" s="7" t="n"/>
      <c r="G68" s="7" t="n"/>
      <c r="H68" s="7" t="n"/>
      <c r="I68" s="7" t="n"/>
      <c r="J68" s="7" t="n"/>
      <c r="K68" s="7" t="n"/>
      <c r="L68" s="5">
        <f>IF(E68="","",IF(OR(E68="Medical Treatment (MTC)",E68="Restricted Work (RWC)",E68="Lost Time Injury (LTI)",E68="Recordable Case",E68="Fatality"),"Y",IF(L68="Y","Y","N")))</f>
        <v/>
      </c>
      <c r="M68" s="5">
        <f>IF(E68="","",IF(OR(E68="Lost Time Injury (LTI)",E68="Fatality"),"Y","N"))</f>
        <v/>
      </c>
      <c r="N68" s="7" t="n"/>
      <c r="O68" s="7" t="n"/>
      <c r="P68" s="7" t="n"/>
      <c r="Q68" s="7" t="n"/>
      <c r="R68" s="7" t="n"/>
      <c r="S68" s="42" t="n"/>
      <c r="T68" s="7" t="n"/>
    </row>
    <row r="69">
      <c r="B69" s="7">
        <f>IF(C69="","","INC-"&amp;TEXT(r-4,"000"))</f>
        <v/>
      </c>
      <c r="C69" s="42" t="n"/>
      <c r="D69" s="7" t="n"/>
      <c r="E69" s="7" t="n"/>
      <c r="F69" s="7" t="n"/>
      <c r="G69" s="7" t="n"/>
      <c r="H69" s="7" t="n"/>
      <c r="I69" s="7" t="n"/>
      <c r="J69" s="7" t="n"/>
      <c r="K69" s="7" t="n"/>
      <c r="L69" s="5">
        <f>IF(E69="","",IF(OR(E69="Medical Treatment (MTC)",E69="Restricted Work (RWC)",E69="Lost Time Injury (LTI)",E69="Recordable Case",E69="Fatality"),"Y",IF(L69="Y","Y","N")))</f>
        <v/>
      </c>
      <c r="M69" s="5">
        <f>IF(E69="","",IF(OR(E69="Lost Time Injury (LTI)",E69="Fatality"),"Y","N"))</f>
        <v/>
      </c>
      <c r="N69" s="7" t="n"/>
      <c r="O69" s="7" t="n"/>
      <c r="P69" s="7" t="n"/>
      <c r="Q69" s="7" t="n"/>
      <c r="R69" s="7" t="n"/>
      <c r="S69" s="42" t="n"/>
      <c r="T69" s="7" t="n"/>
    </row>
    <row r="70">
      <c r="B70" s="7">
        <f>IF(C70="","","INC-"&amp;TEXT(r-4,"000"))</f>
        <v/>
      </c>
      <c r="C70" s="42" t="n"/>
      <c r="D70" s="7" t="n"/>
      <c r="E70" s="7" t="n"/>
      <c r="F70" s="7" t="n"/>
      <c r="G70" s="7" t="n"/>
      <c r="H70" s="7" t="n"/>
      <c r="I70" s="7" t="n"/>
      <c r="J70" s="7" t="n"/>
      <c r="K70" s="7" t="n"/>
      <c r="L70" s="5">
        <f>IF(E70="","",IF(OR(E70="Medical Treatment (MTC)",E70="Restricted Work (RWC)",E70="Lost Time Injury (LTI)",E70="Recordable Case",E70="Fatality"),"Y",IF(L70="Y","Y","N")))</f>
        <v/>
      </c>
      <c r="M70" s="5">
        <f>IF(E70="","",IF(OR(E70="Lost Time Injury (LTI)",E70="Fatality"),"Y","N"))</f>
        <v/>
      </c>
      <c r="N70" s="7" t="n"/>
      <c r="O70" s="7" t="n"/>
      <c r="P70" s="7" t="n"/>
      <c r="Q70" s="7" t="n"/>
      <c r="R70" s="7" t="n"/>
      <c r="S70" s="42" t="n"/>
      <c r="T70" s="7" t="n"/>
    </row>
    <row r="71">
      <c r="B71" s="7">
        <f>IF(C71="","","INC-"&amp;TEXT(r-4,"000"))</f>
        <v/>
      </c>
      <c r="C71" s="42" t="n"/>
      <c r="D71" s="7" t="n"/>
      <c r="E71" s="7" t="n"/>
      <c r="F71" s="7" t="n"/>
      <c r="G71" s="7" t="n"/>
      <c r="H71" s="7" t="n"/>
      <c r="I71" s="7" t="n"/>
      <c r="J71" s="7" t="n"/>
      <c r="K71" s="7" t="n"/>
      <c r="L71" s="5">
        <f>IF(E71="","",IF(OR(E71="Medical Treatment (MTC)",E71="Restricted Work (RWC)",E71="Lost Time Injury (LTI)",E71="Recordable Case",E71="Fatality"),"Y",IF(L71="Y","Y","N")))</f>
        <v/>
      </c>
      <c r="M71" s="5">
        <f>IF(E71="","",IF(OR(E71="Lost Time Injury (LTI)",E71="Fatality"),"Y","N"))</f>
        <v/>
      </c>
      <c r="N71" s="7" t="n"/>
      <c r="O71" s="7" t="n"/>
      <c r="P71" s="7" t="n"/>
      <c r="Q71" s="7" t="n"/>
      <c r="R71" s="7" t="n"/>
      <c r="S71" s="42" t="n"/>
      <c r="T71" s="7" t="n"/>
    </row>
    <row r="72">
      <c r="B72" s="7">
        <f>IF(C72="","","INC-"&amp;TEXT(r-4,"000"))</f>
        <v/>
      </c>
      <c r="C72" s="42" t="n"/>
      <c r="D72" s="7" t="n"/>
      <c r="E72" s="7" t="n"/>
      <c r="F72" s="7" t="n"/>
      <c r="G72" s="7" t="n"/>
      <c r="H72" s="7" t="n"/>
      <c r="I72" s="7" t="n"/>
      <c r="J72" s="7" t="n"/>
      <c r="K72" s="7" t="n"/>
      <c r="L72" s="5">
        <f>IF(E72="","",IF(OR(E72="Medical Treatment (MTC)",E72="Restricted Work (RWC)",E72="Lost Time Injury (LTI)",E72="Recordable Case",E72="Fatality"),"Y",IF(L72="Y","Y","N")))</f>
        <v/>
      </c>
      <c r="M72" s="5">
        <f>IF(E72="","",IF(OR(E72="Lost Time Injury (LTI)",E72="Fatality"),"Y","N"))</f>
        <v/>
      </c>
      <c r="N72" s="7" t="n"/>
      <c r="O72" s="7" t="n"/>
      <c r="P72" s="7" t="n"/>
      <c r="Q72" s="7" t="n"/>
      <c r="R72" s="7" t="n"/>
      <c r="S72" s="42" t="n"/>
      <c r="T72" s="7" t="n"/>
    </row>
    <row r="73">
      <c r="B73" s="7">
        <f>IF(C73="","","INC-"&amp;TEXT(r-4,"000"))</f>
        <v/>
      </c>
      <c r="C73" s="42" t="n"/>
      <c r="D73" s="7" t="n"/>
      <c r="E73" s="7" t="n"/>
      <c r="F73" s="7" t="n"/>
      <c r="G73" s="7" t="n"/>
      <c r="H73" s="7" t="n"/>
      <c r="I73" s="7" t="n"/>
      <c r="J73" s="7" t="n"/>
      <c r="K73" s="7" t="n"/>
      <c r="L73" s="5">
        <f>IF(E73="","",IF(OR(E73="Medical Treatment (MTC)",E73="Restricted Work (RWC)",E73="Lost Time Injury (LTI)",E73="Recordable Case",E73="Fatality"),"Y",IF(L73="Y","Y","N")))</f>
        <v/>
      </c>
      <c r="M73" s="5">
        <f>IF(E73="","",IF(OR(E73="Lost Time Injury (LTI)",E73="Fatality"),"Y","N"))</f>
        <v/>
      </c>
      <c r="N73" s="7" t="n"/>
      <c r="O73" s="7" t="n"/>
      <c r="P73" s="7" t="n"/>
      <c r="Q73" s="7" t="n"/>
      <c r="R73" s="7" t="n"/>
      <c r="S73" s="42" t="n"/>
      <c r="T73" s="7" t="n"/>
    </row>
    <row r="74">
      <c r="B74" s="7">
        <f>IF(C74="","","INC-"&amp;TEXT(r-4,"000"))</f>
        <v/>
      </c>
      <c r="C74" s="42" t="n"/>
      <c r="D74" s="7" t="n"/>
      <c r="E74" s="7" t="n"/>
      <c r="F74" s="7" t="n"/>
      <c r="G74" s="7" t="n"/>
      <c r="H74" s="7" t="n"/>
      <c r="I74" s="7" t="n"/>
      <c r="J74" s="7" t="n"/>
      <c r="K74" s="7" t="n"/>
      <c r="L74" s="5">
        <f>IF(E74="","",IF(OR(E74="Medical Treatment (MTC)",E74="Restricted Work (RWC)",E74="Lost Time Injury (LTI)",E74="Recordable Case",E74="Fatality"),"Y",IF(L74="Y","Y","N")))</f>
        <v/>
      </c>
      <c r="M74" s="5">
        <f>IF(E74="","",IF(OR(E74="Lost Time Injury (LTI)",E74="Fatality"),"Y","N"))</f>
        <v/>
      </c>
      <c r="N74" s="7" t="n"/>
      <c r="O74" s="7" t="n"/>
      <c r="P74" s="7" t="n"/>
      <c r="Q74" s="7" t="n"/>
      <c r="R74" s="7" t="n"/>
      <c r="S74" s="42" t="n"/>
      <c r="T74" s="7" t="n"/>
    </row>
    <row r="75">
      <c r="B75" s="7">
        <f>IF(C75="","","INC-"&amp;TEXT(r-4,"000"))</f>
        <v/>
      </c>
      <c r="C75" s="42" t="n"/>
      <c r="D75" s="7" t="n"/>
      <c r="E75" s="7" t="n"/>
      <c r="F75" s="7" t="n"/>
      <c r="G75" s="7" t="n"/>
      <c r="H75" s="7" t="n"/>
      <c r="I75" s="7" t="n"/>
      <c r="J75" s="7" t="n"/>
      <c r="K75" s="7" t="n"/>
      <c r="L75" s="5">
        <f>IF(E75="","",IF(OR(E75="Medical Treatment (MTC)",E75="Restricted Work (RWC)",E75="Lost Time Injury (LTI)",E75="Recordable Case",E75="Fatality"),"Y",IF(L75="Y","Y","N")))</f>
        <v/>
      </c>
      <c r="M75" s="5">
        <f>IF(E75="","",IF(OR(E75="Lost Time Injury (LTI)",E75="Fatality"),"Y","N"))</f>
        <v/>
      </c>
      <c r="N75" s="7" t="n"/>
      <c r="O75" s="7" t="n"/>
      <c r="P75" s="7" t="n"/>
      <c r="Q75" s="7" t="n"/>
      <c r="R75" s="7" t="n"/>
      <c r="S75" s="42" t="n"/>
      <c r="T75" s="7" t="n"/>
    </row>
    <row r="76">
      <c r="B76" s="7">
        <f>IF(C76="","","INC-"&amp;TEXT(r-4,"000"))</f>
        <v/>
      </c>
      <c r="C76" s="42" t="n"/>
      <c r="D76" s="7" t="n"/>
      <c r="E76" s="7" t="n"/>
      <c r="F76" s="7" t="n"/>
      <c r="G76" s="7" t="n"/>
      <c r="H76" s="7" t="n"/>
      <c r="I76" s="7" t="n"/>
      <c r="J76" s="7" t="n"/>
      <c r="K76" s="7" t="n"/>
      <c r="L76" s="5">
        <f>IF(E76="","",IF(OR(E76="Medical Treatment (MTC)",E76="Restricted Work (RWC)",E76="Lost Time Injury (LTI)",E76="Recordable Case",E76="Fatality"),"Y",IF(L76="Y","Y","N")))</f>
        <v/>
      </c>
      <c r="M76" s="5">
        <f>IF(E76="","",IF(OR(E76="Lost Time Injury (LTI)",E76="Fatality"),"Y","N"))</f>
        <v/>
      </c>
      <c r="N76" s="7" t="n"/>
      <c r="O76" s="7" t="n"/>
      <c r="P76" s="7" t="n"/>
      <c r="Q76" s="7" t="n"/>
      <c r="R76" s="7" t="n"/>
      <c r="S76" s="42" t="n"/>
      <c r="T76" s="7" t="n"/>
    </row>
    <row r="77">
      <c r="B77" s="7">
        <f>IF(C77="","","INC-"&amp;TEXT(r-4,"000"))</f>
        <v/>
      </c>
      <c r="C77" s="42" t="n"/>
      <c r="D77" s="7" t="n"/>
      <c r="E77" s="7" t="n"/>
      <c r="F77" s="7" t="n"/>
      <c r="G77" s="7" t="n"/>
      <c r="H77" s="7" t="n"/>
      <c r="I77" s="7" t="n"/>
      <c r="J77" s="7" t="n"/>
      <c r="K77" s="7" t="n"/>
      <c r="L77" s="5">
        <f>IF(E77="","",IF(OR(E77="Medical Treatment (MTC)",E77="Restricted Work (RWC)",E77="Lost Time Injury (LTI)",E77="Recordable Case",E77="Fatality"),"Y",IF(L77="Y","Y","N")))</f>
        <v/>
      </c>
      <c r="M77" s="5">
        <f>IF(E77="","",IF(OR(E77="Lost Time Injury (LTI)",E77="Fatality"),"Y","N"))</f>
        <v/>
      </c>
      <c r="N77" s="7" t="n"/>
      <c r="O77" s="7" t="n"/>
      <c r="P77" s="7" t="n"/>
      <c r="Q77" s="7" t="n"/>
      <c r="R77" s="7" t="n"/>
      <c r="S77" s="42" t="n"/>
      <c r="T77" s="7" t="n"/>
    </row>
    <row r="78">
      <c r="B78" s="7">
        <f>IF(C78="","","INC-"&amp;TEXT(r-4,"000"))</f>
        <v/>
      </c>
      <c r="C78" s="42" t="n"/>
      <c r="D78" s="7" t="n"/>
      <c r="E78" s="7" t="n"/>
      <c r="F78" s="7" t="n"/>
      <c r="G78" s="7" t="n"/>
      <c r="H78" s="7" t="n"/>
      <c r="I78" s="7" t="n"/>
      <c r="J78" s="7" t="n"/>
      <c r="K78" s="7" t="n"/>
      <c r="L78" s="5">
        <f>IF(E78="","",IF(OR(E78="Medical Treatment (MTC)",E78="Restricted Work (RWC)",E78="Lost Time Injury (LTI)",E78="Recordable Case",E78="Fatality"),"Y",IF(L78="Y","Y","N")))</f>
        <v/>
      </c>
      <c r="M78" s="5">
        <f>IF(E78="","",IF(OR(E78="Lost Time Injury (LTI)",E78="Fatality"),"Y","N"))</f>
        <v/>
      </c>
      <c r="N78" s="7" t="n"/>
      <c r="O78" s="7" t="n"/>
      <c r="P78" s="7" t="n"/>
      <c r="Q78" s="7" t="n"/>
      <c r="R78" s="7" t="n"/>
      <c r="S78" s="42" t="n"/>
      <c r="T78" s="7" t="n"/>
    </row>
    <row r="79">
      <c r="B79" s="7">
        <f>IF(C79="","","INC-"&amp;TEXT(r-4,"000"))</f>
        <v/>
      </c>
      <c r="C79" s="42" t="n"/>
      <c r="D79" s="7" t="n"/>
      <c r="E79" s="7" t="n"/>
      <c r="F79" s="7" t="n"/>
      <c r="G79" s="7" t="n"/>
      <c r="H79" s="7" t="n"/>
      <c r="I79" s="7" t="n"/>
      <c r="J79" s="7" t="n"/>
      <c r="K79" s="7" t="n"/>
      <c r="L79" s="5">
        <f>IF(E79="","",IF(OR(E79="Medical Treatment (MTC)",E79="Restricted Work (RWC)",E79="Lost Time Injury (LTI)",E79="Recordable Case",E79="Fatality"),"Y",IF(L79="Y","Y","N")))</f>
        <v/>
      </c>
      <c r="M79" s="5">
        <f>IF(E79="","",IF(OR(E79="Lost Time Injury (LTI)",E79="Fatality"),"Y","N"))</f>
        <v/>
      </c>
      <c r="N79" s="7" t="n"/>
      <c r="O79" s="7" t="n"/>
      <c r="P79" s="7" t="n"/>
      <c r="Q79" s="7" t="n"/>
      <c r="R79" s="7" t="n"/>
      <c r="S79" s="42" t="n"/>
      <c r="T79" s="7" t="n"/>
    </row>
    <row r="80">
      <c r="B80" s="7">
        <f>IF(C80="","","INC-"&amp;TEXT(r-4,"000"))</f>
        <v/>
      </c>
      <c r="C80" s="42" t="n"/>
      <c r="D80" s="7" t="n"/>
      <c r="E80" s="7" t="n"/>
      <c r="F80" s="7" t="n"/>
      <c r="G80" s="7" t="n"/>
      <c r="H80" s="7" t="n"/>
      <c r="I80" s="7" t="n"/>
      <c r="J80" s="7" t="n"/>
      <c r="K80" s="7" t="n"/>
      <c r="L80" s="5">
        <f>IF(E80="","",IF(OR(E80="Medical Treatment (MTC)",E80="Restricted Work (RWC)",E80="Lost Time Injury (LTI)",E80="Recordable Case",E80="Fatality"),"Y",IF(L80="Y","Y","N")))</f>
        <v/>
      </c>
      <c r="M80" s="5">
        <f>IF(E80="","",IF(OR(E80="Lost Time Injury (LTI)",E80="Fatality"),"Y","N"))</f>
        <v/>
      </c>
      <c r="N80" s="7" t="n"/>
      <c r="O80" s="7" t="n"/>
      <c r="P80" s="7" t="n"/>
      <c r="Q80" s="7" t="n"/>
      <c r="R80" s="7" t="n"/>
      <c r="S80" s="42" t="n"/>
      <c r="T80" s="7" t="n"/>
    </row>
    <row r="81">
      <c r="B81" s="7">
        <f>IF(C81="","","INC-"&amp;TEXT(r-4,"000"))</f>
        <v/>
      </c>
      <c r="C81" s="42" t="n"/>
      <c r="D81" s="7" t="n"/>
      <c r="E81" s="7" t="n"/>
      <c r="F81" s="7" t="n"/>
      <c r="G81" s="7" t="n"/>
      <c r="H81" s="7" t="n"/>
      <c r="I81" s="7" t="n"/>
      <c r="J81" s="7" t="n"/>
      <c r="K81" s="7" t="n"/>
      <c r="L81" s="5">
        <f>IF(E81="","",IF(OR(E81="Medical Treatment (MTC)",E81="Restricted Work (RWC)",E81="Lost Time Injury (LTI)",E81="Recordable Case",E81="Fatality"),"Y",IF(L81="Y","Y","N")))</f>
        <v/>
      </c>
      <c r="M81" s="5">
        <f>IF(E81="","",IF(OR(E81="Lost Time Injury (LTI)",E81="Fatality"),"Y","N"))</f>
        <v/>
      </c>
      <c r="N81" s="7" t="n"/>
      <c r="O81" s="7" t="n"/>
      <c r="P81" s="7" t="n"/>
      <c r="Q81" s="7" t="n"/>
      <c r="R81" s="7" t="n"/>
      <c r="S81" s="42" t="n"/>
      <c r="T81" s="7" t="n"/>
    </row>
    <row r="82">
      <c r="B82" s="7">
        <f>IF(C82="","","INC-"&amp;TEXT(r-4,"000"))</f>
        <v/>
      </c>
      <c r="C82" s="42" t="n"/>
      <c r="D82" s="7" t="n"/>
      <c r="E82" s="7" t="n"/>
      <c r="F82" s="7" t="n"/>
      <c r="G82" s="7" t="n"/>
      <c r="H82" s="7" t="n"/>
      <c r="I82" s="7" t="n"/>
      <c r="J82" s="7" t="n"/>
      <c r="K82" s="7" t="n"/>
      <c r="L82" s="5">
        <f>IF(E82="","",IF(OR(E82="Medical Treatment (MTC)",E82="Restricted Work (RWC)",E82="Lost Time Injury (LTI)",E82="Recordable Case",E82="Fatality"),"Y",IF(L82="Y","Y","N")))</f>
        <v/>
      </c>
      <c r="M82" s="5">
        <f>IF(E82="","",IF(OR(E82="Lost Time Injury (LTI)",E82="Fatality"),"Y","N"))</f>
        <v/>
      </c>
      <c r="N82" s="7" t="n"/>
      <c r="O82" s="7" t="n"/>
      <c r="P82" s="7" t="n"/>
      <c r="Q82" s="7" t="n"/>
      <c r="R82" s="7" t="n"/>
      <c r="S82" s="42" t="n"/>
      <c r="T82" s="7" t="n"/>
    </row>
    <row r="83">
      <c r="B83" s="7">
        <f>IF(C83="","","INC-"&amp;TEXT(r-4,"000"))</f>
        <v/>
      </c>
      <c r="C83" s="42" t="n"/>
      <c r="D83" s="7" t="n"/>
      <c r="E83" s="7" t="n"/>
      <c r="F83" s="7" t="n"/>
      <c r="G83" s="7" t="n"/>
      <c r="H83" s="7" t="n"/>
      <c r="I83" s="7" t="n"/>
      <c r="J83" s="7" t="n"/>
      <c r="K83" s="7" t="n"/>
      <c r="L83" s="5">
        <f>IF(E83="","",IF(OR(E83="Medical Treatment (MTC)",E83="Restricted Work (RWC)",E83="Lost Time Injury (LTI)",E83="Recordable Case",E83="Fatality"),"Y",IF(L83="Y","Y","N")))</f>
        <v/>
      </c>
      <c r="M83" s="5">
        <f>IF(E83="","",IF(OR(E83="Lost Time Injury (LTI)",E83="Fatality"),"Y","N"))</f>
        <v/>
      </c>
      <c r="N83" s="7" t="n"/>
      <c r="O83" s="7" t="n"/>
      <c r="P83" s="7" t="n"/>
      <c r="Q83" s="7" t="n"/>
      <c r="R83" s="7" t="n"/>
      <c r="S83" s="42" t="n"/>
      <c r="T83" s="7" t="n"/>
    </row>
    <row r="84">
      <c r="B84" s="7">
        <f>IF(C84="","","INC-"&amp;TEXT(r-4,"000"))</f>
        <v/>
      </c>
      <c r="C84" s="42" t="n"/>
      <c r="D84" s="7" t="n"/>
      <c r="E84" s="7" t="n"/>
      <c r="F84" s="7" t="n"/>
      <c r="G84" s="7" t="n"/>
      <c r="H84" s="7" t="n"/>
      <c r="I84" s="7" t="n"/>
      <c r="J84" s="7" t="n"/>
      <c r="K84" s="7" t="n"/>
      <c r="L84" s="5">
        <f>IF(E84="","",IF(OR(E84="Medical Treatment (MTC)",E84="Restricted Work (RWC)",E84="Lost Time Injury (LTI)",E84="Recordable Case",E84="Fatality"),"Y",IF(L84="Y","Y","N")))</f>
        <v/>
      </c>
      <c r="M84" s="5">
        <f>IF(E84="","",IF(OR(E84="Lost Time Injury (LTI)",E84="Fatality"),"Y","N"))</f>
        <v/>
      </c>
      <c r="N84" s="7" t="n"/>
      <c r="O84" s="7" t="n"/>
      <c r="P84" s="7" t="n"/>
      <c r="Q84" s="7" t="n"/>
      <c r="R84" s="7" t="n"/>
      <c r="S84" s="42" t="n"/>
      <c r="T84" s="7" t="n"/>
    </row>
    <row r="85">
      <c r="B85" s="7">
        <f>IF(C85="","","INC-"&amp;TEXT(r-4,"000"))</f>
        <v/>
      </c>
      <c r="C85" s="42" t="n"/>
      <c r="D85" s="7" t="n"/>
      <c r="E85" s="7" t="n"/>
      <c r="F85" s="7" t="n"/>
      <c r="G85" s="7" t="n"/>
      <c r="H85" s="7" t="n"/>
      <c r="I85" s="7" t="n"/>
      <c r="J85" s="7" t="n"/>
      <c r="K85" s="7" t="n"/>
      <c r="L85" s="5">
        <f>IF(E85="","",IF(OR(E85="Medical Treatment (MTC)",E85="Restricted Work (RWC)",E85="Lost Time Injury (LTI)",E85="Recordable Case",E85="Fatality"),"Y",IF(L85="Y","Y","N")))</f>
        <v/>
      </c>
      <c r="M85" s="5">
        <f>IF(E85="","",IF(OR(E85="Lost Time Injury (LTI)",E85="Fatality"),"Y","N"))</f>
        <v/>
      </c>
      <c r="N85" s="7" t="n"/>
      <c r="O85" s="7" t="n"/>
      <c r="P85" s="7" t="n"/>
      <c r="Q85" s="7" t="n"/>
      <c r="R85" s="7" t="n"/>
      <c r="S85" s="42" t="n"/>
      <c r="T85" s="7" t="n"/>
    </row>
    <row r="86">
      <c r="B86" s="7">
        <f>IF(C86="","","INC-"&amp;TEXT(r-4,"000"))</f>
        <v/>
      </c>
      <c r="C86" s="42" t="n"/>
      <c r="D86" s="7" t="n"/>
      <c r="E86" s="7" t="n"/>
      <c r="F86" s="7" t="n"/>
      <c r="G86" s="7" t="n"/>
      <c r="H86" s="7" t="n"/>
      <c r="I86" s="7" t="n"/>
      <c r="J86" s="7" t="n"/>
      <c r="K86" s="7" t="n"/>
      <c r="L86" s="5">
        <f>IF(E86="","",IF(OR(E86="Medical Treatment (MTC)",E86="Restricted Work (RWC)",E86="Lost Time Injury (LTI)",E86="Recordable Case",E86="Fatality"),"Y",IF(L86="Y","Y","N")))</f>
        <v/>
      </c>
      <c r="M86" s="5">
        <f>IF(E86="","",IF(OR(E86="Lost Time Injury (LTI)",E86="Fatality"),"Y","N"))</f>
        <v/>
      </c>
      <c r="N86" s="7" t="n"/>
      <c r="O86" s="7" t="n"/>
      <c r="P86" s="7" t="n"/>
      <c r="Q86" s="7" t="n"/>
      <c r="R86" s="7" t="n"/>
      <c r="S86" s="42" t="n"/>
      <c r="T86" s="7" t="n"/>
    </row>
    <row r="87">
      <c r="B87" s="7">
        <f>IF(C87="","","INC-"&amp;TEXT(r-4,"000"))</f>
        <v/>
      </c>
      <c r="C87" s="42" t="n"/>
      <c r="D87" s="7" t="n"/>
      <c r="E87" s="7" t="n"/>
      <c r="F87" s="7" t="n"/>
      <c r="G87" s="7" t="n"/>
      <c r="H87" s="7" t="n"/>
      <c r="I87" s="7" t="n"/>
      <c r="J87" s="7" t="n"/>
      <c r="K87" s="7" t="n"/>
      <c r="L87" s="5">
        <f>IF(E87="","",IF(OR(E87="Medical Treatment (MTC)",E87="Restricted Work (RWC)",E87="Lost Time Injury (LTI)",E87="Recordable Case",E87="Fatality"),"Y",IF(L87="Y","Y","N")))</f>
        <v/>
      </c>
      <c r="M87" s="5">
        <f>IF(E87="","",IF(OR(E87="Lost Time Injury (LTI)",E87="Fatality"),"Y","N"))</f>
        <v/>
      </c>
      <c r="N87" s="7" t="n"/>
      <c r="O87" s="7" t="n"/>
      <c r="P87" s="7" t="n"/>
      <c r="Q87" s="7" t="n"/>
      <c r="R87" s="7" t="n"/>
      <c r="S87" s="42" t="n"/>
      <c r="T87" s="7" t="n"/>
    </row>
    <row r="88">
      <c r="B88" s="7">
        <f>IF(C88="","","INC-"&amp;TEXT(r-4,"000"))</f>
        <v/>
      </c>
      <c r="C88" s="42" t="n"/>
      <c r="D88" s="7" t="n"/>
      <c r="E88" s="7" t="n"/>
      <c r="F88" s="7" t="n"/>
      <c r="G88" s="7" t="n"/>
      <c r="H88" s="7" t="n"/>
      <c r="I88" s="7" t="n"/>
      <c r="J88" s="7" t="n"/>
      <c r="K88" s="7" t="n"/>
      <c r="L88" s="5">
        <f>IF(E88="","",IF(OR(E88="Medical Treatment (MTC)",E88="Restricted Work (RWC)",E88="Lost Time Injury (LTI)",E88="Recordable Case",E88="Fatality"),"Y",IF(L88="Y","Y","N")))</f>
        <v/>
      </c>
      <c r="M88" s="5">
        <f>IF(E88="","",IF(OR(E88="Lost Time Injury (LTI)",E88="Fatality"),"Y","N"))</f>
        <v/>
      </c>
      <c r="N88" s="7" t="n"/>
      <c r="O88" s="7" t="n"/>
      <c r="P88" s="7" t="n"/>
      <c r="Q88" s="7" t="n"/>
      <c r="R88" s="7" t="n"/>
      <c r="S88" s="42" t="n"/>
      <c r="T88" s="7" t="n"/>
    </row>
    <row r="89">
      <c r="B89" s="7">
        <f>IF(C89="","","INC-"&amp;TEXT(r-4,"000"))</f>
        <v/>
      </c>
      <c r="C89" s="42" t="n"/>
      <c r="D89" s="7" t="n"/>
      <c r="E89" s="7" t="n"/>
      <c r="F89" s="7" t="n"/>
      <c r="G89" s="7" t="n"/>
      <c r="H89" s="7" t="n"/>
      <c r="I89" s="7" t="n"/>
      <c r="J89" s="7" t="n"/>
      <c r="K89" s="7" t="n"/>
      <c r="L89" s="5">
        <f>IF(E89="","",IF(OR(E89="Medical Treatment (MTC)",E89="Restricted Work (RWC)",E89="Lost Time Injury (LTI)",E89="Recordable Case",E89="Fatality"),"Y",IF(L89="Y","Y","N")))</f>
        <v/>
      </c>
      <c r="M89" s="5">
        <f>IF(E89="","",IF(OR(E89="Lost Time Injury (LTI)",E89="Fatality"),"Y","N"))</f>
        <v/>
      </c>
      <c r="N89" s="7" t="n"/>
      <c r="O89" s="7" t="n"/>
      <c r="P89" s="7" t="n"/>
      <c r="Q89" s="7" t="n"/>
      <c r="R89" s="7" t="n"/>
      <c r="S89" s="42" t="n"/>
      <c r="T89" s="7" t="n"/>
    </row>
    <row r="90">
      <c r="B90" s="7">
        <f>IF(C90="","","INC-"&amp;TEXT(r-4,"000"))</f>
        <v/>
      </c>
      <c r="C90" s="42" t="n"/>
      <c r="D90" s="7" t="n"/>
      <c r="E90" s="7" t="n"/>
      <c r="F90" s="7" t="n"/>
      <c r="G90" s="7" t="n"/>
      <c r="H90" s="7" t="n"/>
      <c r="I90" s="7" t="n"/>
      <c r="J90" s="7" t="n"/>
      <c r="K90" s="7" t="n"/>
      <c r="L90" s="5">
        <f>IF(E90="","",IF(OR(E90="Medical Treatment (MTC)",E90="Restricted Work (RWC)",E90="Lost Time Injury (LTI)",E90="Recordable Case",E90="Fatality"),"Y",IF(L90="Y","Y","N")))</f>
        <v/>
      </c>
      <c r="M90" s="5">
        <f>IF(E90="","",IF(OR(E90="Lost Time Injury (LTI)",E90="Fatality"),"Y","N"))</f>
        <v/>
      </c>
      <c r="N90" s="7" t="n"/>
      <c r="O90" s="7" t="n"/>
      <c r="P90" s="7" t="n"/>
      <c r="Q90" s="7" t="n"/>
      <c r="R90" s="7" t="n"/>
      <c r="S90" s="42" t="n"/>
      <c r="T90" s="7" t="n"/>
    </row>
    <row r="91">
      <c r="B91" s="7">
        <f>IF(C91="","","INC-"&amp;TEXT(r-4,"000"))</f>
        <v/>
      </c>
      <c r="C91" s="42" t="n"/>
      <c r="D91" s="7" t="n"/>
      <c r="E91" s="7" t="n"/>
      <c r="F91" s="7" t="n"/>
      <c r="G91" s="7" t="n"/>
      <c r="H91" s="7" t="n"/>
      <c r="I91" s="7" t="n"/>
      <c r="J91" s="7" t="n"/>
      <c r="K91" s="7" t="n"/>
      <c r="L91" s="5">
        <f>IF(E91="","",IF(OR(E91="Medical Treatment (MTC)",E91="Restricted Work (RWC)",E91="Lost Time Injury (LTI)",E91="Recordable Case",E91="Fatality"),"Y",IF(L91="Y","Y","N")))</f>
        <v/>
      </c>
      <c r="M91" s="5">
        <f>IF(E91="","",IF(OR(E91="Lost Time Injury (LTI)",E91="Fatality"),"Y","N"))</f>
        <v/>
      </c>
      <c r="N91" s="7" t="n"/>
      <c r="O91" s="7" t="n"/>
      <c r="P91" s="7" t="n"/>
      <c r="Q91" s="7" t="n"/>
      <c r="R91" s="7" t="n"/>
      <c r="S91" s="42" t="n"/>
      <c r="T91" s="7" t="n"/>
    </row>
    <row r="92">
      <c r="B92" s="7">
        <f>IF(C92="","","INC-"&amp;TEXT(r-4,"000"))</f>
        <v/>
      </c>
      <c r="C92" s="42" t="n"/>
      <c r="D92" s="7" t="n"/>
      <c r="E92" s="7" t="n"/>
      <c r="F92" s="7" t="n"/>
      <c r="G92" s="7" t="n"/>
      <c r="H92" s="7" t="n"/>
      <c r="I92" s="7" t="n"/>
      <c r="J92" s="7" t="n"/>
      <c r="K92" s="7" t="n"/>
      <c r="L92" s="5">
        <f>IF(E92="","",IF(OR(E92="Medical Treatment (MTC)",E92="Restricted Work (RWC)",E92="Lost Time Injury (LTI)",E92="Recordable Case",E92="Fatality"),"Y",IF(L92="Y","Y","N")))</f>
        <v/>
      </c>
      <c r="M92" s="5">
        <f>IF(E92="","",IF(OR(E92="Lost Time Injury (LTI)",E92="Fatality"),"Y","N"))</f>
        <v/>
      </c>
      <c r="N92" s="7" t="n"/>
      <c r="O92" s="7" t="n"/>
      <c r="P92" s="7" t="n"/>
      <c r="Q92" s="7" t="n"/>
      <c r="R92" s="7" t="n"/>
      <c r="S92" s="42" t="n"/>
      <c r="T92" s="7" t="n"/>
    </row>
    <row r="93">
      <c r="B93" s="7">
        <f>IF(C93="","","INC-"&amp;TEXT(r-4,"000"))</f>
        <v/>
      </c>
      <c r="C93" s="42" t="n"/>
      <c r="D93" s="7" t="n"/>
      <c r="E93" s="7" t="n"/>
      <c r="F93" s="7" t="n"/>
      <c r="G93" s="7" t="n"/>
      <c r="H93" s="7" t="n"/>
      <c r="I93" s="7" t="n"/>
      <c r="J93" s="7" t="n"/>
      <c r="K93" s="7" t="n"/>
      <c r="L93" s="5">
        <f>IF(E93="","",IF(OR(E93="Medical Treatment (MTC)",E93="Restricted Work (RWC)",E93="Lost Time Injury (LTI)",E93="Recordable Case",E93="Fatality"),"Y",IF(L93="Y","Y","N")))</f>
        <v/>
      </c>
      <c r="M93" s="5">
        <f>IF(E93="","",IF(OR(E93="Lost Time Injury (LTI)",E93="Fatality"),"Y","N"))</f>
        <v/>
      </c>
      <c r="N93" s="7" t="n"/>
      <c r="O93" s="7" t="n"/>
      <c r="P93" s="7" t="n"/>
      <c r="Q93" s="7" t="n"/>
      <c r="R93" s="7" t="n"/>
      <c r="S93" s="42" t="n"/>
      <c r="T93" s="7" t="n"/>
    </row>
    <row r="94">
      <c r="B94" s="7">
        <f>IF(C94="","","INC-"&amp;TEXT(r-4,"000"))</f>
        <v/>
      </c>
      <c r="C94" s="42" t="n"/>
      <c r="D94" s="7" t="n"/>
      <c r="E94" s="7" t="n"/>
      <c r="F94" s="7" t="n"/>
      <c r="G94" s="7" t="n"/>
      <c r="H94" s="7" t="n"/>
      <c r="I94" s="7" t="n"/>
      <c r="J94" s="7" t="n"/>
      <c r="K94" s="7" t="n"/>
      <c r="L94" s="5">
        <f>IF(E94="","",IF(OR(E94="Medical Treatment (MTC)",E94="Restricted Work (RWC)",E94="Lost Time Injury (LTI)",E94="Recordable Case",E94="Fatality"),"Y",IF(L94="Y","Y","N")))</f>
        <v/>
      </c>
      <c r="M94" s="5">
        <f>IF(E94="","",IF(OR(E94="Lost Time Injury (LTI)",E94="Fatality"),"Y","N"))</f>
        <v/>
      </c>
      <c r="N94" s="7" t="n"/>
      <c r="O94" s="7" t="n"/>
      <c r="P94" s="7" t="n"/>
      <c r="Q94" s="7" t="n"/>
      <c r="R94" s="7" t="n"/>
      <c r="S94" s="42" t="n"/>
      <c r="T94" s="7" t="n"/>
    </row>
    <row r="95">
      <c r="B95" s="7">
        <f>IF(C95="","","INC-"&amp;TEXT(r-4,"000"))</f>
        <v/>
      </c>
      <c r="C95" s="42" t="n"/>
      <c r="D95" s="7" t="n"/>
      <c r="E95" s="7" t="n"/>
      <c r="F95" s="7" t="n"/>
      <c r="G95" s="7" t="n"/>
      <c r="H95" s="7" t="n"/>
      <c r="I95" s="7" t="n"/>
      <c r="J95" s="7" t="n"/>
      <c r="K95" s="7" t="n"/>
      <c r="L95" s="5">
        <f>IF(E95="","",IF(OR(E95="Medical Treatment (MTC)",E95="Restricted Work (RWC)",E95="Lost Time Injury (LTI)",E95="Recordable Case",E95="Fatality"),"Y",IF(L95="Y","Y","N")))</f>
        <v/>
      </c>
      <c r="M95" s="5">
        <f>IF(E95="","",IF(OR(E95="Lost Time Injury (LTI)",E95="Fatality"),"Y","N"))</f>
        <v/>
      </c>
      <c r="N95" s="7" t="n"/>
      <c r="O95" s="7" t="n"/>
      <c r="P95" s="7" t="n"/>
      <c r="Q95" s="7" t="n"/>
      <c r="R95" s="7" t="n"/>
      <c r="S95" s="42" t="n"/>
      <c r="T95" s="7" t="n"/>
    </row>
    <row r="96">
      <c r="B96" s="7">
        <f>IF(C96="","","INC-"&amp;TEXT(r-4,"000"))</f>
        <v/>
      </c>
      <c r="C96" s="42" t="n"/>
      <c r="D96" s="7" t="n"/>
      <c r="E96" s="7" t="n"/>
      <c r="F96" s="7" t="n"/>
      <c r="G96" s="7" t="n"/>
      <c r="H96" s="7" t="n"/>
      <c r="I96" s="7" t="n"/>
      <c r="J96" s="7" t="n"/>
      <c r="K96" s="7" t="n"/>
      <c r="L96" s="5">
        <f>IF(E96="","",IF(OR(E96="Medical Treatment (MTC)",E96="Restricted Work (RWC)",E96="Lost Time Injury (LTI)",E96="Recordable Case",E96="Fatality"),"Y",IF(L96="Y","Y","N")))</f>
        <v/>
      </c>
      <c r="M96" s="5">
        <f>IF(E96="","",IF(OR(E96="Lost Time Injury (LTI)",E96="Fatality"),"Y","N"))</f>
        <v/>
      </c>
      <c r="N96" s="7" t="n"/>
      <c r="O96" s="7" t="n"/>
      <c r="P96" s="7" t="n"/>
      <c r="Q96" s="7" t="n"/>
      <c r="R96" s="7" t="n"/>
      <c r="S96" s="42" t="n"/>
      <c r="T96" s="7" t="n"/>
    </row>
    <row r="97">
      <c r="B97" s="7">
        <f>IF(C97="","","INC-"&amp;TEXT(r-4,"000"))</f>
        <v/>
      </c>
      <c r="C97" s="42" t="n"/>
      <c r="D97" s="7" t="n"/>
      <c r="E97" s="7" t="n"/>
      <c r="F97" s="7" t="n"/>
      <c r="G97" s="7" t="n"/>
      <c r="H97" s="7" t="n"/>
      <c r="I97" s="7" t="n"/>
      <c r="J97" s="7" t="n"/>
      <c r="K97" s="7" t="n"/>
      <c r="L97" s="5">
        <f>IF(E97="","",IF(OR(E97="Medical Treatment (MTC)",E97="Restricted Work (RWC)",E97="Lost Time Injury (LTI)",E97="Recordable Case",E97="Fatality"),"Y",IF(L97="Y","Y","N")))</f>
        <v/>
      </c>
      <c r="M97" s="5">
        <f>IF(E97="","",IF(OR(E97="Lost Time Injury (LTI)",E97="Fatality"),"Y","N"))</f>
        <v/>
      </c>
      <c r="N97" s="7" t="n"/>
      <c r="O97" s="7" t="n"/>
      <c r="P97" s="7" t="n"/>
      <c r="Q97" s="7" t="n"/>
      <c r="R97" s="7" t="n"/>
      <c r="S97" s="42" t="n"/>
      <c r="T97" s="7" t="n"/>
    </row>
    <row r="98">
      <c r="B98" s="7">
        <f>IF(C98="","","INC-"&amp;TEXT(r-4,"000"))</f>
        <v/>
      </c>
      <c r="C98" s="42" t="n"/>
      <c r="D98" s="7" t="n"/>
      <c r="E98" s="7" t="n"/>
      <c r="F98" s="7" t="n"/>
      <c r="G98" s="7" t="n"/>
      <c r="H98" s="7" t="n"/>
      <c r="I98" s="7" t="n"/>
      <c r="J98" s="7" t="n"/>
      <c r="K98" s="7" t="n"/>
      <c r="L98" s="5">
        <f>IF(E98="","",IF(OR(E98="Medical Treatment (MTC)",E98="Restricted Work (RWC)",E98="Lost Time Injury (LTI)",E98="Recordable Case",E98="Fatality"),"Y",IF(L98="Y","Y","N")))</f>
        <v/>
      </c>
      <c r="M98" s="5">
        <f>IF(E98="","",IF(OR(E98="Lost Time Injury (LTI)",E98="Fatality"),"Y","N"))</f>
        <v/>
      </c>
      <c r="N98" s="7" t="n"/>
      <c r="O98" s="7" t="n"/>
      <c r="P98" s="7" t="n"/>
      <c r="Q98" s="7" t="n"/>
      <c r="R98" s="7" t="n"/>
      <c r="S98" s="42" t="n"/>
      <c r="T98" s="7" t="n"/>
    </row>
    <row r="99">
      <c r="B99" s="7">
        <f>IF(C99="","","INC-"&amp;TEXT(r-4,"000"))</f>
        <v/>
      </c>
      <c r="C99" s="42" t="n"/>
      <c r="D99" s="7" t="n"/>
      <c r="E99" s="7" t="n"/>
      <c r="F99" s="7" t="n"/>
      <c r="G99" s="7" t="n"/>
      <c r="H99" s="7" t="n"/>
      <c r="I99" s="7" t="n"/>
      <c r="J99" s="7" t="n"/>
      <c r="K99" s="7" t="n"/>
      <c r="L99" s="5">
        <f>IF(E99="","",IF(OR(E99="Medical Treatment (MTC)",E99="Restricted Work (RWC)",E99="Lost Time Injury (LTI)",E99="Recordable Case",E99="Fatality"),"Y",IF(L99="Y","Y","N")))</f>
        <v/>
      </c>
      <c r="M99" s="5">
        <f>IF(E99="","",IF(OR(E99="Lost Time Injury (LTI)",E99="Fatality"),"Y","N"))</f>
        <v/>
      </c>
      <c r="N99" s="7" t="n"/>
      <c r="O99" s="7" t="n"/>
      <c r="P99" s="7" t="n"/>
      <c r="Q99" s="7" t="n"/>
      <c r="R99" s="7" t="n"/>
      <c r="S99" s="42" t="n"/>
      <c r="T99" s="7" t="n"/>
    </row>
    <row r="100">
      <c r="B100" s="7">
        <f>IF(C100="","","INC-"&amp;TEXT(r-4,"000"))</f>
        <v/>
      </c>
      <c r="C100" s="42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5">
        <f>IF(E100="","",IF(OR(E100="Medical Treatment (MTC)",E100="Restricted Work (RWC)",E100="Lost Time Injury (LTI)",E100="Recordable Case",E100="Fatality"),"Y",IF(L100="Y","Y","N")))</f>
        <v/>
      </c>
      <c r="M100" s="5">
        <f>IF(E100="","",IF(OR(E100="Lost Time Injury (LTI)",E100="Fatality"),"Y","N"))</f>
        <v/>
      </c>
      <c r="N100" s="7" t="n"/>
      <c r="O100" s="7" t="n"/>
      <c r="P100" s="7" t="n"/>
      <c r="Q100" s="7" t="n"/>
      <c r="R100" s="7" t="n"/>
      <c r="S100" s="42" t="n"/>
      <c r="T100" s="7" t="n"/>
    </row>
    <row r="101">
      <c r="B101" s="7">
        <f>IF(C101="","","INC-"&amp;TEXT(r-4,"000"))</f>
        <v/>
      </c>
      <c r="C101" s="42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5">
        <f>IF(E101="","",IF(OR(E101="Medical Treatment (MTC)",E101="Restricted Work (RWC)",E101="Lost Time Injury (LTI)",E101="Recordable Case",E101="Fatality"),"Y",IF(L101="Y","Y","N")))</f>
        <v/>
      </c>
      <c r="M101" s="5">
        <f>IF(E101="","",IF(OR(E101="Lost Time Injury (LTI)",E101="Fatality"),"Y","N"))</f>
        <v/>
      </c>
      <c r="N101" s="7" t="n"/>
      <c r="O101" s="7" t="n"/>
      <c r="P101" s="7" t="n"/>
      <c r="Q101" s="7" t="n"/>
      <c r="R101" s="7" t="n"/>
      <c r="S101" s="42" t="n"/>
      <c r="T101" s="7" t="n"/>
    </row>
    <row r="102">
      <c r="B102" s="7">
        <f>IF(C102="","","INC-"&amp;TEXT(r-4,"000"))</f>
        <v/>
      </c>
      <c r="C102" s="42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5">
        <f>IF(E102="","",IF(OR(E102="Medical Treatment (MTC)",E102="Restricted Work (RWC)",E102="Lost Time Injury (LTI)",E102="Recordable Case",E102="Fatality"),"Y",IF(L102="Y","Y","N")))</f>
        <v/>
      </c>
      <c r="M102" s="5">
        <f>IF(E102="","",IF(OR(E102="Lost Time Injury (LTI)",E102="Fatality"),"Y","N"))</f>
        <v/>
      </c>
      <c r="N102" s="7" t="n"/>
      <c r="O102" s="7" t="n"/>
      <c r="P102" s="7" t="n"/>
      <c r="Q102" s="7" t="n"/>
      <c r="R102" s="7" t="n"/>
      <c r="S102" s="42" t="n"/>
      <c r="T102" s="7" t="n"/>
    </row>
    <row r="103">
      <c r="B103" s="7">
        <f>IF(C103="","","INC-"&amp;TEXT(r-4,"000"))</f>
        <v/>
      </c>
      <c r="C103" s="42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5">
        <f>IF(E103="","",IF(OR(E103="Medical Treatment (MTC)",E103="Restricted Work (RWC)",E103="Lost Time Injury (LTI)",E103="Recordable Case",E103="Fatality"),"Y",IF(L103="Y","Y","N")))</f>
        <v/>
      </c>
      <c r="M103" s="5">
        <f>IF(E103="","",IF(OR(E103="Lost Time Injury (LTI)",E103="Fatality"),"Y","N"))</f>
        <v/>
      </c>
      <c r="N103" s="7" t="n"/>
      <c r="O103" s="7" t="n"/>
      <c r="P103" s="7" t="n"/>
      <c r="Q103" s="7" t="n"/>
      <c r="R103" s="7" t="n"/>
      <c r="S103" s="42" t="n"/>
      <c r="T103" s="7" t="n"/>
    </row>
    <row r="104">
      <c r="B104" s="7">
        <f>IF(C104="","","INC-"&amp;TEXT(r-4,"000"))</f>
        <v/>
      </c>
      <c r="C104" s="42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5">
        <f>IF(E104="","",IF(OR(E104="Medical Treatment (MTC)",E104="Restricted Work (RWC)",E104="Lost Time Injury (LTI)",E104="Recordable Case",E104="Fatality"),"Y",IF(L104="Y","Y","N")))</f>
        <v/>
      </c>
      <c r="M104" s="5">
        <f>IF(E104="","",IF(OR(E104="Lost Time Injury (LTI)",E104="Fatality"),"Y","N"))</f>
        <v/>
      </c>
      <c r="N104" s="7" t="n"/>
      <c r="O104" s="7" t="n"/>
      <c r="P104" s="7" t="n"/>
      <c r="Q104" s="7" t="n"/>
      <c r="R104" s="7" t="n"/>
      <c r="S104" s="42" t="n"/>
      <c r="T104" s="7" t="n"/>
    </row>
    <row r="105">
      <c r="B105" s="7">
        <f>IF(C105="","","INC-"&amp;TEXT(r-4,"000"))</f>
        <v/>
      </c>
      <c r="C105" s="42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5">
        <f>IF(E105="","",IF(OR(E105="Medical Treatment (MTC)",E105="Restricted Work (RWC)",E105="Lost Time Injury (LTI)",E105="Recordable Case",E105="Fatality"),"Y",IF(L105="Y","Y","N")))</f>
        <v/>
      </c>
      <c r="M105" s="5">
        <f>IF(E105="","",IF(OR(E105="Lost Time Injury (LTI)",E105="Fatality"),"Y","N"))</f>
        <v/>
      </c>
      <c r="N105" s="7" t="n"/>
      <c r="O105" s="7" t="n"/>
      <c r="P105" s="7" t="n"/>
      <c r="Q105" s="7" t="n"/>
      <c r="R105" s="7" t="n"/>
      <c r="S105" s="42" t="n"/>
      <c r="T105" s="7" t="n"/>
    </row>
    <row r="106">
      <c r="B106" s="7">
        <f>IF(C106="","","INC-"&amp;TEXT(r-4,"000"))</f>
        <v/>
      </c>
      <c r="C106" s="42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5">
        <f>IF(E106="","",IF(OR(E106="Medical Treatment (MTC)",E106="Restricted Work (RWC)",E106="Lost Time Injury (LTI)",E106="Recordable Case",E106="Fatality"),"Y",IF(L106="Y","Y","N")))</f>
        <v/>
      </c>
      <c r="M106" s="5">
        <f>IF(E106="","",IF(OR(E106="Lost Time Injury (LTI)",E106="Fatality"),"Y","N"))</f>
        <v/>
      </c>
      <c r="N106" s="7" t="n"/>
      <c r="O106" s="7" t="n"/>
      <c r="P106" s="7" t="n"/>
      <c r="Q106" s="7" t="n"/>
      <c r="R106" s="7" t="n"/>
      <c r="S106" s="42" t="n"/>
      <c r="T106" s="7" t="n"/>
    </row>
    <row r="107">
      <c r="B107" s="7">
        <f>IF(C107="","","INC-"&amp;TEXT(r-4,"000"))</f>
        <v/>
      </c>
      <c r="C107" s="42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5">
        <f>IF(E107="","",IF(OR(E107="Medical Treatment (MTC)",E107="Restricted Work (RWC)",E107="Lost Time Injury (LTI)",E107="Recordable Case",E107="Fatality"),"Y",IF(L107="Y","Y","N")))</f>
        <v/>
      </c>
      <c r="M107" s="5">
        <f>IF(E107="","",IF(OR(E107="Lost Time Injury (LTI)",E107="Fatality"),"Y","N"))</f>
        <v/>
      </c>
      <c r="N107" s="7" t="n"/>
      <c r="O107" s="7" t="n"/>
      <c r="P107" s="7" t="n"/>
      <c r="Q107" s="7" t="n"/>
      <c r="R107" s="7" t="n"/>
      <c r="S107" s="42" t="n"/>
      <c r="T107" s="7" t="n"/>
    </row>
    <row r="108">
      <c r="B108" s="7">
        <f>IF(C108="","","INC-"&amp;TEXT(r-4,"000"))</f>
        <v/>
      </c>
      <c r="C108" s="42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5">
        <f>IF(E108="","",IF(OR(E108="Medical Treatment (MTC)",E108="Restricted Work (RWC)",E108="Lost Time Injury (LTI)",E108="Recordable Case",E108="Fatality"),"Y",IF(L108="Y","Y","N")))</f>
        <v/>
      </c>
      <c r="M108" s="5">
        <f>IF(E108="","",IF(OR(E108="Lost Time Injury (LTI)",E108="Fatality"),"Y","N"))</f>
        <v/>
      </c>
      <c r="N108" s="7" t="n"/>
      <c r="O108" s="7" t="n"/>
      <c r="P108" s="7" t="n"/>
      <c r="Q108" s="7" t="n"/>
      <c r="R108" s="7" t="n"/>
      <c r="S108" s="42" t="n"/>
      <c r="T108" s="7" t="n"/>
    </row>
    <row r="109">
      <c r="B109" s="7">
        <f>IF(C109="","","INC-"&amp;TEXT(r-4,"000"))</f>
        <v/>
      </c>
      <c r="C109" s="42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5">
        <f>IF(E109="","",IF(OR(E109="Medical Treatment (MTC)",E109="Restricted Work (RWC)",E109="Lost Time Injury (LTI)",E109="Recordable Case",E109="Fatality"),"Y",IF(L109="Y","Y","N")))</f>
        <v/>
      </c>
      <c r="M109" s="5">
        <f>IF(E109="","",IF(OR(E109="Lost Time Injury (LTI)",E109="Fatality"),"Y","N"))</f>
        <v/>
      </c>
      <c r="N109" s="7" t="n"/>
      <c r="O109" s="7" t="n"/>
      <c r="P109" s="7" t="n"/>
      <c r="Q109" s="7" t="n"/>
      <c r="R109" s="7" t="n"/>
      <c r="S109" s="42" t="n"/>
      <c r="T109" s="7" t="n"/>
    </row>
    <row r="110">
      <c r="B110" s="7">
        <f>IF(C110="","","INC-"&amp;TEXT(r-4,"000"))</f>
        <v/>
      </c>
      <c r="C110" s="42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5">
        <f>IF(E110="","",IF(OR(E110="Medical Treatment (MTC)",E110="Restricted Work (RWC)",E110="Lost Time Injury (LTI)",E110="Recordable Case",E110="Fatality"),"Y",IF(L110="Y","Y","N")))</f>
        <v/>
      </c>
      <c r="M110" s="5">
        <f>IF(E110="","",IF(OR(E110="Lost Time Injury (LTI)",E110="Fatality"),"Y","N"))</f>
        <v/>
      </c>
      <c r="N110" s="7" t="n"/>
      <c r="O110" s="7" t="n"/>
      <c r="P110" s="7" t="n"/>
      <c r="Q110" s="7" t="n"/>
      <c r="R110" s="7" t="n"/>
      <c r="S110" s="42" t="n"/>
      <c r="T110" s="7" t="n"/>
    </row>
    <row r="111">
      <c r="B111" s="7">
        <f>IF(C111="","","INC-"&amp;TEXT(r-4,"000"))</f>
        <v/>
      </c>
      <c r="C111" s="42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5">
        <f>IF(E111="","",IF(OR(E111="Medical Treatment (MTC)",E111="Restricted Work (RWC)",E111="Lost Time Injury (LTI)",E111="Recordable Case",E111="Fatality"),"Y",IF(L111="Y","Y","N")))</f>
        <v/>
      </c>
      <c r="M111" s="5">
        <f>IF(E111="","",IF(OR(E111="Lost Time Injury (LTI)",E111="Fatality"),"Y","N"))</f>
        <v/>
      </c>
      <c r="N111" s="7" t="n"/>
      <c r="O111" s="7" t="n"/>
      <c r="P111" s="7" t="n"/>
      <c r="Q111" s="7" t="n"/>
      <c r="R111" s="7" t="n"/>
      <c r="S111" s="42" t="n"/>
      <c r="T111" s="7" t="n"/>
    </row>
    <row r="112">
      <c r="B112" s="7">
        <f>IF(C112="","","INC-"&amp;TEXT(r-4,"000"))</f>
        <v/>
      </c>
      <c r="C112" s="42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5">
        <f>IF(E112="","",IF(OR(E112="Medical Treatment (MTC)",E112="Restricted Work (RWC)",E112="Lost Time Injury (LTI)",E112="Recordable Case",E112="Fatality"),"Y",IF(L112="Y","Y","N")))</f>
        <v/>
      </c>
      <c r="M112" s="5">
        <f>IF(E112="","",IF(OR(E112="Lost Time Injury (LTI)",E112="Fatality"),"Y","N"))</f>
        <v/>
      </c>
      <c r="N112" s="7" t="n"/>
      <c r="O112" s="7" t="n"/>
      <c r="P112" s="7" t="n"/>
      <c r="Q112" s="7" t="n"/>
      <c r="R112" s="7" t="n"/>
      <c r="S112" s="42" t="n"/>
      <c r="T112" s="7" t="n"/>
    </row>
    <row r="113">
      <c r="B113" s="7">
        <f>IF(C113="","","INC-"&amp;TEXT(r-4,"000"))</f>
        <v/>
      </c>
      <c r="C113" s="42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5">
        <f>IF(E113="","",IF(OR(E113="Medical Treatment (MTC)",E113="Restricted Work (RWC)",E113="Lost Time Injury (LTI)",E113="Recordable Case",E113="Fatality"),"Y",IF(L113="Y","Y","N")))</f>
        <v/>
      </c>
      <c r="M113" s="5">
        <f>IF(E113="","",IF(OR(E113="Lost Time Injury (LTI)",E113="Fatality"),"Y","N"))</f>
        <v/>
      </c>
      <c r="N113" s="7" t="n"/>
      <c r="O113" s="7" t="n"/>
      <c r="P113" s="7" t="n"/>
      <c r="Q113" s="7" t="n"/>
      <c r="R113" s="7" t="n"/>
      <c r="S113" s="42" t="n"/>
      <c r="T113" s="7" t="n"/>
    </row>
    <row r="114">
      <c r="B114" s="7">
        <f>IF(C114="","","INC-"&amp;TEXT(r-4,"000"))</f>
        <v/>
      </c>
      <c r="C114" s="42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5">
        <f>IF(E114="","",IF(OR(E114="Medical Treatment (MTC)",E114="Restricted Work (RWC)",E114="Lost Time Injury (LTI)",E114="Recordable Case",E114="Fatality"),"Y",IF(L114="Y","Y","N")))</f>
        <v/>
      </c>
      <c r="M114" s="5">
        <f>IF(E114="","",IF(OR(E114="Lost Time Injury (LTI)",E114="Fatality"),"Y","N"))</f>
        <v/>
      </c>
      <c r="N114" s="7" t="n"/>
      <c r="O114" s="7" t="n"/>
      <c r="P114" s="7" t="n"/>
      <c r="Q114" s="7" t="n"/>
      <c r="R114" s="7" t="n"/>
      <c r="S114" s="42" t="n"/>
      <c r="T114" s="7" t="n"/>
    </row>
    <row r="115">
      <c r="B115" s="7">
        <f>IF(C115="","","INC-"&amp;TEXT(r-4,"000"))</f>
        <v/>
      </c>
      <c r="C115" s="42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5">
        <f>IF(E115="","",IF(OR(E115="Medical Treatment (MTC)",E115="Restricted Work (RWC)",E115="Lost Time Injury (LTI)",E115="Recordable Case",E115="Fatality"),"Y",IF(L115="Y","Y","N")))</f>
        <v/>
      </c>
      <c r="M115" s="5">
        <f>IF(E115="","",IF(OR(E115="Lost Time Injury (LTI)",E115="Fatality"),"Y","N"))</f>
        <v/>
      </c>
      <c r="N115" s="7" t="n"/>
      <c r="O115" s="7" t="n"/>
      <c r="P115" s="7" t="n"/>
      <c r="Q115" s="7" t="n"/>
      <c r="R115" s="7" t="n"/>
      <c r="S115" s="42" t="n"/>
      <c r="T115" s="7" t="n"/>
    </row>
    <row r="116">
      <c r="B116" s="7">
        <f>IF(C116="","","INC-"&amp;TEXT(r-4,"000"))</f>
        <v/>
      </c>
      <c r="C116" s="42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5">
        <f>IF(E116="","",IF(OR(E116="Medical Treatment (MTC)",E116="Restricted Work (RWC)",E116="Lost Time Injury (LTI)",E116="Recordable Case",E116="Fatality"),"Y",IF(L116="Y","Y","N")))</f>
        <v/>
      </c>
      <c r="M116" s="5">
        <f>IF(E116="","",IF(OR(E116="Lost Time Injury (LTI)",E116="Fatality"),"Y","N"))</f>
        <v/>
      </c>
      <c r="N116" s="7" t="n"/>
      <c r="O116" s="7" t="n"/>
      <c r="P116" s="7" t="n"/>
      <c r="Q116" s="7" t="n"/>
      <c r="R116" s="7" t="n"/>
      <c r="S116" s="42" t="n"/>
      <c r="T116" s="7" t="n"/>
    </row>
    <row r="117">
      <c r="B117" s="7">
        <f>IF(C117="","","INC-"&amp;TEXT(r-4,"000"))</f>
        <v/>
      </c>
      <c r="C117" s="42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5">
        <f>IF(E117="","",IF(OR(E117="Medical Treatment (MTC)",E117="Restricted Work (RWC)",E117="Lost Time Injury (LTI)",E117="Recordable Case",E117="Fatality"),"Y",IF(L117="Y","Y","N")))</f>
        <v/>
      </c>
      <c r="M117" s="5">
        <f>IF(E117="","",IF(OR(E117="Lost Time Injury (LTI)",E117="Fatality"),"Y","N"))</f>
        <v/>
      </c>
      <c r="N117" s="7" t="n"/>
      <c r="O117" s="7" t="n"/>
      <c r="P117" s="7" t="n"/>
      <c r="Q117" s="7" t="n"/>
      <c r="R117" s="7" t="n"/>
      <c r="S117" s="42" t="n"/>
      <c r="T117" s="7" t="n"/>
    </row>
    <row r="118">
      <c r="B118" s="7">
        <f>IF(C118="","","INC-"&amp;TEXT(r-4,"000"))</f>
        <v/>
      </c>
      <c r="C118" s="42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5">
        <f>IF(E118="","",IF(OR(E118="Medical Treatment (MTC)",E118="Restricted Work (RWC)",E118="Lost Time Injury (LTI)",E118="Recordable Case",E118="Fatality"),"Y",IF(L118="Y","Y","N")))</f>
        <v/>
      </c>
      <c r="M118" s="5">
        <f>IF(E118="","",IF(OR(E118="Lost Time Injury (LTI)",E118="Fatality"),"Y","N"))</f>
        <v/>
      </c>
      <c r="N118" s="7" t="n"/>
      <c r="O118" s="7" t="n"/>
      <c r="P118" s="7" t="n"/>
      <c r="Q118" s="7" t="n"/>
      <c r="R118" s="7" t="n"/>
      <c r="S118" s="42" t="n"/>
      <c r="T118" s="7" t="n"/>
    </row>
    <row r="119">
      <c r="B119" s="7">
        <f>IF(C119="","","INC-"&amp;TEXT(r-4,"000"))</f>
        <v/>
      </c>
      <c r="C119" s="42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5">
        <f>IF(E119="","",IF(OR(E119="Medical Treatment (MTC)",E119="Restricted Work (RWC)",E119="Lost Time Injury (LTI)",E119="Recordable Case",E119="Fatality"),"Y",IF(L119="Y","Y","N")))</f>
        <v/>
      </c>
      <c r="M119" s="5">
        <f>IF(E119="","",IF(OR(E119="Lost Time Injury (LTI)",E119="Fatality"),"Y","N"))</f>
        <v/>
      </c>
      <c r="N119" s="7" t="n"/>
      <c r="O119" s="7" t="n"/>
      <c r="P119" s="7" t="n"/>
      <c r="Q119" s="7" t="n"/>
      <c r="R119" s="7" t="n"/>
      <c r="S119" s="42" t="n"/>
      <c r="T119" s="7" t="n"/>
    </row>
  </sheetData>
  <mergeCells count="3">
    <mergeCell ref="A1:T1"/>
    <mergeCell ref="B3:T3"/>
    <mergeCell ref="A2:T2"/>
  </mergeCells>
  <dataValidations count="4">
    <dataValidation sqref="E5:E200" showDropDown="0" showInputMessage="0" showErrorMessage="0" allowBlank="1" type="list">
      <formula1>=Lookups!$F$5:$F$16</formula1>
    </dataValidation>
    <dataValidation sqref="G5:G200" showDropDown="0" showInputMessage="0" showErrorMessage="0" allowBlank="1" type="list">
      <formula1>=Lookups!$E$5:$E$12</formula1>
    </dataValidation>
    <dataValidation sqref="Q5:Q200" showDropDown="0" showInputMessage="0" showErrorMessage="0" allowBlank="1" type="list">
      <formula1>=Lookups!$C$5:$C$8</formula1>
    </dataValidation>
    <dataValidation sqref="T5:T200" showDropDown="0" showInputMessage="0" showErrorMessage="0" allowBlank="1" type="list">
      <formula1>=Lookups!$D$5:$D$8</formula1>
    </dataValidation>
  </dataValidations>
  <pageMargins left="0.75" right="0.75" top="1" bottom="1" header="0.5" footer="0.5"/>
  <pageSetup orientation="landscape" paperSize="9" fitToHeight="0" fitToWidth="1"/>
  <headerFooter>
    <oddHeader>&amp;LKAZ PP Expansion | EHS</oddHeader>
    <oddFooter>&amp;RConfidential |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D35400"/>
    <outlinePr summaryBelow="1" summaryRight="1"/>
    <pageSetUpPr fitToPage="1"/>
  </sheetPr>
  <dimension ref="A1:W2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22" customWidth="1" min="4" max="4"/>
    <col width="14" customWidth="1" min="5" max="5"/>
    <col width="16" customWidth="1" min="6" max="6"/>
    <col width="18" customWidth="1" min="7" max="7"/>
    <col width="14" customWidth="1" min="8" max="8"/>
    <col width="16" customWidth="1" min="9" max="9"/>
    <col width="36" customWidth="1" min="10" max="10"/>
    <col width="28" customWidth="1" min="11" max="11"/>
    <col width="14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8" customWidth="1" min="18" max="18"/>
    <col width="14" customWidth="1" min="19" max="19"/>
    <col width="16" customWidth="1" min="20" max="20"/>
    <col width="18" customWidth="1" min="22" max="22"/>
    <col width="12" customWidth="1" min="23" max="23"/>
  </cols>
  <sheetData>
    <row r="1" ht="32" customHeight="1">
      <c r="A1" s="1" t="inlineStr">
        <is>
          <t>04  |  OBSERVATION TRACKER &amp; AGING SYSTEM</t>
        </is>
      </c>
    </row>
    <row r="2" ht="20" customHeight="1">
      <c r="A2" s="2" t="inlineStr">
        <is>
          <t>Overdue Days escalate daily while status is Open / In Progress. Frequency Count = repeats of same type + area + contractor.</t>
        </is>
      </c>
    </row>
    <row r="4">
      <c r="B4" s="9" t="inlineStr">
        <is>
          <t>OBS-ID</t>
        </is>
      </c>
      <c r="C4" s="9" t="inlineStr">
        <is>
          <t>Date</t>
        </is>
      </c>
      <c r="D4" s="9" t="inlineStr">
        <is>
          <t>Type</t>
        </is>
      </c>
      <c r="E4" s="9" t="inlineStr">
        <is>
          <t>Severity</t>
        </is>
      </c>
      <c r="F4" s="9" t="inlineStr">
        <is>
          <t>Status</t>
        </is>
      </c>
      <c r="G4" s="9" t="inlineStr">
        <is>
          <t>Subcontractor</t>
        </is>
      </c>
      <c r="H4" s="9" t="inlineStr">
        <is>
          <t>PTW Number</t>
        </is>
      </c>
      <c r="I4" s="9" t="inlineStr">
        <is>
          <t>Location / Area</t>
        </is>
      </c>
      <c r="J4" s="9" t="inlineStr">
        <is>
          <t>Observation (raw)</t>
        </is>
      </c>
      <c r="K4" s="9" t="inlineStr">
        <is>
          <t>Immediate Action</t>
        </is>
      </c>
      <c r="L4" s="9" t="inlineStr">
        <is>
          <t>Action Owner</t>
        </is>
      </c>
      <c r="M4" s="9" t="inlineStr">
        <is>
          <t>Target Close</t>
        </is>
      </c>
      <c r="N4" s="9" t="inlineStr">
        <is>
          <t>Closed Date</t>
        </is>
      </c>
      <c r="O4" s="9" t="inlineStr">
        <is>
          <t>Overdue Days</t>
        </is>
      </c>
      <c r="P4" s="9" t="inlineStr">
        <is>
          <t>Frequency Count</t>
        </is>
      </c>
      <c r="Q4" s="9" t="inlineStr">
        <is>
          <t>Repeat Flag</t>
        </is>
      </c>
      <c r="R4" s="9" t="inlineStr">
        <is>
          <t>Reported by</t>
        </is>
      </c>
      <c r="S4" s="9" t="inlineStr">
        <is>
          <t>NCR Linked</t>
        </is>
      </c>
      <c r="T4" s="9" t="inlineStr">
        <is>
          <t>Risk Score</t>
        </is>
      </c>
      <c r="V4" t="inlineStr">
        <is>
          <t>OBS KPIs</t>
        </is>
      </c>
    </row>
    <row r="5">
      <c r="B5" s="7" t="inlineStr">
        <is>
          <t>OBS-001</t>
        </is>
      </c>
      <c r="C5" s="42" t="n">
        <v>46082</v>
      </c>
      <c r="D5" s="7" t="inlineStr">
        <is>
          <t>Lifting Operations</t>
        </is>
      </c>
      <c r="E5" s="7" t="inlineStr">
        <is>
          <t>High</t>
        </is>
      </c>
      <c r="F5" s="7" t="inlineStr">
        <is>
          <t>Closed</t>
        </is>
      </c>
      <c r="G5" s="7" t="inlineStr">
        <is>
          <t>Lifting Contractor E</t>
        </is>
      </c>
      <c r="H5" s="7" t="inlineStr">
        <is>
          <t>PTW-0101</t>
        </is>
      </c>
      <c r="I5" s="7" t="inlineStr">
        <is>
          <t>Laydown A</t>
        </is>
      </c>
      <c r="J5" s="7" t="inlineStr">
        <is>
          <t>Tag line not used on 12t load</t>
        </is>
      </c>
      <c r="K5" s="7" t="inlineStr">
        <is>
          <t>Stop lift, toolbox</t>
        </is>
      </c>
      <c r="L5" s="7" t="inlineStr">
        <is>
          <t>Lift Sup.</t>
        </is>
      </c>
      <c r="M5" s="42" t="n">
        <v>46083</v>
      </c>
      <c r="N5" s="42" t="n">
        <v>46083</v>
      </c>
      <c r="O5" s="5">
        <f>IF(C5="","",IF(OR(F5="Closed",F5=""),0,IF(N5&lt;&gt;"",MAX(0,N5-M5),MAX(0,TODAY()-IF(M5="",C5+IF(E5="Critical",Admin!$C$11,Admin!$C$10),M5)))))</f>
        <v/>
      </c>
      <c r="P5" s="5">
        <f>IF(D5="","",COUNTIFS($D$5:$D$250,D5,$I$5:$I$250,I5,$G$5:$G$250,G5))</f>
        <v/>
      </c>
      <c r="Q5" s="5">
        <f>IF(P5="","",IF(P5&gt;=3,"REPEAT ≥3",IF(P5=2,"REPEAT","Unique")))</f>
        <v/>
      </c>
      <c r="R5" s="7" t="inlineStr">
        <is>
          <t>Ahmed</t>
        </is>
      </c>
      <c r="T5" s="5">
        <f>IF(E5="","",IF(E5="Critical",25,IF(E5="High",16,IF(E5="Medium",9,4))))</f>
        <v/>
      </c>
      <c r="V5" s="47" t="inlineStr">
        <is>
          <t>Total</t>
        </is>
      </c>
      <c r="W5" s="5">
        <f>COUNTA(C5:C250)</f>
        <v/>
      </c>
    </row>
    <row r="6">
      <c r="B6" s="7" t="inlineStr">
        <is>
          <t>OBS-002</t>
        </is>
      </c>
      <c r="C6" s="42" t="n">
        <v>46084</v>
      </c>
      <c r="D6" s="7" t="inlineStr">
        <is>
          <t>Working at Height</t>
        </is>
      </c>
      <c r="E6" s="7" t="inlineStr">
        <is>
          <t>Critical</t>
        </is>
      </c>
      <c r="F6" s="7" t="inlineStr">
        <is>
          <t>Open</t>
        </is>
      </c>
      <c r="G6" s="7" t="inlineStr">
        <is>
          <t>Team Seisms</t>
        </is>
      </c>
      <c r="H6" s="7" t="inlineStr">
        <is>
          <t>PTW-0155</t>
        </is>
      </c>
      <c r="I6" s="7" t="inlineStr">
        <is>
          <t>Boiler roof</t>
        </is>
      </c>
      <c r="J6" s="7" t="inlineStr">
        <is>
          <t>Unprotected edge 8m, no harness anchorage</t>
        </is>
      </c>
      <c r="K6" s="7" t="inlineStr">
        <is>
          <t>Barrier 2m, stop work</t>
        </is>
      </c>
      <c r="L6" s="7" t="inlineStr">
        <is>
          <t>Site Eng.</t>
        </is>
      </c>
      <c r="M6" s="42" t="n">
        <v>46085</v>
      </c>
      <c r="N6" s="42" t="inlineStr"/>
      <c r="O6" s="5">
        <f>IF(C6="","",IF(OR(F6="Closed",F6=""),0,IF(N6&lt;&gt;"",MAX(0,N6-M6),MAX(0,TODAY()-IF(M6="",C6+IF(E6="Critical",Admin!$C$11,Admin!$C$10),M6)))))</f>
        <v/>
      </c>
      <c r="P6" s="5">
        <f>IF(D6="","",COUNTIFS($D$5:$D$250,D6,$I$5:$I$250,I6,$G$5:$G$250,G6))</f>
        <v/>
      </c>
      <c r="Q6" s="5">
        <f>IF(P6="","",IF(P6&gt;=3,"REPEAT ≥3",IF(P6=2,"REPEAT","Unique")))</f>
        <v/>
      </c>
      <c r="R6" s="7" t="inlineStr">
        <is>
          <t>Sara</t>
        </is>
      </c>
      <c r="T6" s="5">
        <f>IF(E6="","",IF(E6="Critical",25,IF(E6="High",16,IF(E6="Medium",9,4))))</f>
        <v/>
      </c>
      <c r="V6" s="47" t="inlineStr">
        <is>
          <t>Open</t>
        </is>
      </c>
      <c r="W6" s="5">
        <f>COUNTIF(F5:F250,"Open")</f>
        <v/>
      </c>
    </row>
    <row r="7">
      <c r="B7" s="7" t="inlineStr">
        <is>
          <t>OBS-003</t>
        </is>
      </c>
      <c r="C7" s="42" t="n">
        <v>46085</v>
      </c>
      <c r="D7" s="7" t="inlineStr">
        <is>
          <t>Excavation</t>
        </is>
      </c>
      <c r="E7" s="7" t="inlineStr">
        <is>
          <t>High</t>
        </is>
      </c>
      <c r="F7" s="7" t="inlineStr">
        <is>
          <t>In Progress</t>
        </is>
      </c>
      <c r="G7" s="7" t="inlineStr">
        <is>
          <t>Team Al-Mayal</t>
        </is>
      </c>
      <c r="H7" s="7" t="inlineStr">
        <is>
          <t>PTW-0160</t>
        </is>
      </c>
      <c r="I7" s="7" t="inlineStr">
        <is>
          <t>Grid B-4</t>
        </is>
      </c>
      <c r="J7" s="7" t="inlineStr">
        <is>
          <t>Spoil stored at edge of 2.1m trench</t>
        </is>
      </c>
      <c r="K7" s="7" t="inlineStr">
        <is>
          <t>Move spoil 1m, shore</t>
        </is>
      </c>
      <c r="L7" s="7" t="inlineStr">
        <is>
          <t>Civil Sup.</t>
        </is>
      </c>
      <c r="M7" s="42" t="n">
        <v>46087</v>
      </c>
      <c r="N7" s="42" t="inlineStr"/>
      <c r="O7" s="5">
        <f>IF(C7="","",IF(OR(F7="Closed",F7=""),0,IF(N7&lt;&gt;"",MAX(0,N7-M7),MAX(0,TODAY()-IF(M7="",C7+IF(E7="Critical",Admin!$C$11,Admin!$C$10),M7)))))</f>
        <v/>
      </c>
      <c r="P7" s="5">
        <f>IF(D7="","",COUNTIFS($D$5:$D$250,D7,$I$5:$I$250,I7,$G$5:$G$250,G7))</f>
        <v/>
      </c>
      <c r="Q7" s="5">
        <f>IF(P7="","",IF(P7&gt;=3,"REPEAT ≥3",IF(P7=2,"REPEAT","Unique")))</f>
        <v/>
      </c>
      <c r="R7" s="7" t="inlineStr">
        <is>
          <t>Omar</t>
        </is>
      </c>
      <c r="T7" s="5">
        <f>IF(E7="","",IF(E7="Critical",25,IF(E7="High",16,IF(E7="Medium",9,4))))</f>
        <v/>
      </c>
      <c r="V7" s="47" t="inlineStr">
        <is>
          <t>In Progress</t>
        </is>
      </c>
      <c r="W7" s="5">
        <f>COUNTIF(F5:F250,"In Progress")</f>
        <v/>
      </c>
    </row>
    <row r="8">
      <c r="B8" s="7" t="inlineStr">
        <is>
          <t>OBS-004</t>
        </is>
      </c>
      <c r="C8" s="42" t="n">
        <v>46087</v>
      </c>
      <c r="D8" s="7" t="inlineStr">
        <is>
          <t>Work Permits / PTW</t>
        </is>
      </c>
      <c r="E8" s="7" t="inlineStr">
        <is>
          <t>Medium</t>
        </is>
      </c>
      <c r="F8" s="7" t="inlineStr">
        <is>
          <t>Open</t>
        </is>
      </c>
      <c r="G8" s="7" t="inlineStr">
        <is>
          <t>Electrical Subcontractor C</t>
        </is>
      </c>
      <c r="H8" s="7" t="inlineStr">
        <is>
          <t>PTW-0172</t>
        </is>
      </c>
      <c r="I8" s="7" t="inlineStr">
        <is>
          <t>Substation</t>
        </is>
      </c>
      <c r="J8" s="7" t="inlineStr">
        <is>
          <t>PTW expired, work continuing</t>
        </is>
      </c>
      <c r="K8" s="7" t="inlineStr">
        <is>
          <t>Stop, reissue PTW</t>
        </is>
      </c>
      <c r="L8" s="7" t="inlineStr">
        <is>
          <t>EA</t>
        </is>
      </c>
      <c r="M8" s="42" t="n">
        <v>46088</v>
      </c>
      <c r="N8" s="42" t="inlineStr"/>
      <c r="O8" s="5">
        <f>IF(C8="","",IF(OR(F8="Closed",F8=""),0,IF(N8&lt;&gt;"",MAX(0,N8-M8),MAX(0,TODAY()-IF(M8="",C8+IF(E8="Critical",Admin!$C$11,Admin!$C$10),M8)))))</f>
        <v/>
      </c>
      <c r="P8" s="5">
        <f>IF(D8="","",COUNTIFS($D$5:$D$250,D8,$I$5:$I$250,I8,$G$5:$G$250,G8))</f>
        <v/>
      </c>
      <c r="Q8" s="5">
        <f>IF(P8="","",IF(P8&gt;=3,"REPEAT ≥3",IF(P8=2,"REPEAT","Unique")))</f>
        <v/>
      </c>
      <c r="R8" s="7" t="inlineStr">
        <is>
          <t>Hassan</t>
        </is>
      </c>
      <c r="T8" s="5">
        <f>IF(E8="","",IF(E8="Critical",25,IF(E8="High",16,IF(E8="Medium",9,4))))</f>
        <v/>
      </c>
      <c r="V8" s="47" t="inlineStr">
        <is>
          <t>Closed</t>
        </is>
      </c>
      <c r="W8" s="5">
        <f>COUNTIF(F5:F250,"Closed")</f>
        <v/>
      </c>
    </row>
    <row r="9">
      <c r="B9" s="7" t="inlineStr">
        <is>
          <t>OBS-005</t>
        </is>
      </c>
      <c r="C9" s="42" t="n">
        <v>46088</v>
      </c>
      <c r="D9" s="7" t="inlineStr">
        <is>
          <t>Scaffolding</t>
        </is>
      </c>
      <c r="E9" s="7" t="inlineStr">
        <is>
          <t>High</t>
        </is>
      </c>
      <c r="F9" s="7" t="inlineStr">
        <is>
          <t>Open</t>
        </is>
      </c>
      <c r="G9" s="7" t="inlineStr">
        <is>
          <t>Scaffolding Contractor D</t>
        </is>
      </c>
      <c r="H9" s="7" t="inlineStr">
        <is>
          <t>PTW-0180</t>
        </is>
      </c>
      <c r="I9" s="7" t="inlineStr">
        <is>
          <t>Pipe rack 3</t>
        </is>
      </c>
      <c r="J9" s="7" t="inlineStr">
        <is>
          <t>Incomplete scaffold — no toe boards, green tag on red</t>
        </is>
      </c>
      <c r="K9" s="7" t="inlineStr">
        <is>
          <t>Red tag, dismantle</t>
        </is>
      </c>
      <c r="L9" s="7" t="inlineStr">
        <is>
          <t>Scaffold I</t>
        </is>
      </c>
      <c r="M9" s="42" t="n">
        <v>46089</v>
      </c>
      <c r="N9" s="42" t="inlineStr"/>
      <c r="O9" s="5">
        <f>IF(C9="","",IF(OR(F9="Closed",F9=""),0,IF(N9&lt;&gt;"",MAX(0,N9-M9),MAX(0,TODAY()-IF(M9="",C9+IF(E9="Critical",Admin!$C$11,Admin!$C$10),M9)))))</f>
        <v/>
      </c>
      <c r="P9" s="5">
        <f>IF(D9="","",COUNTIFS($D$5:$D$250,D9,$I$5:$I$250,I9,$G$5:$G$250,G9))</f>
        <v/>
      </c>
      <c r="Q9" s="5">
        <f>IF(P9="","",IF(P9&gt;=3,"REPEAT ≥3",IF(P9=2,"REPEAT","Unique")))</f>
        <v/>
      </c>
      <c r="R9" s="7" t="inlineStr">
        <is>
          <t>Ali</t>
        </is>
      </c>
      <c r="T9" s="5">
        <f>IF(E9="","",IF(E9="Critical",25,IF(E9="High",16,IF(E9="Medium",9,4))))</f>
        <v/>
      </c>
      <c r="V9" s="47" t="inlineStr">
        <is>
          <t>Overdue (days&gt;0)</t>
        </is>
      </c>
      <c r="W9" s="5">
        <f>COUNTIF(O5:O250,"&gt;0")</f>
        <v/>
      </c>
    </row>
    <row r="10">
      <c r="B10" s="7" t="inlineStr">
        <is>
          <t>OBS-006</t>
        </is>
      </c>
      <c r="C10" s="42" t="n">
        <v>46089</v>
      </c>
      <c r="D10" s="7" t="inlineStr">
        <is>
          <t>Lifting Operations</t>
        </is>
      </c>
      <c r="E10" s="7" t="inlineStr">
        <is>
          <t>Medium</t>
        </is>
      </c>
      <c r="F10" s="7" t="inlineStr">
        <is>
          <t>Closed</t>
        </is>
      </c>
      <c r="G10" s="7" t="inlineStr">
        <is>
          <t>Lifting Contractor E</t>
        </is>
      </c>
      <c r="H10" s="7" t="inlineStr">
        <is>
          <t>PTW-0184</t>
        </is>
      </c>
      <c r="I10" s="7" t="inlineStr">
        <is>
          <t>Laydown A</t>
        </is>
      </c>
      <c r="J10" s="7" t="inlineStr">
        <is>
          <t>Out of date color code on sling</t>
        </is>
      </c>
      <c r="K10" s="7" t="inlineStr">
        <is>
          <t>Quarantine sling</t>
        </is>
      </c>
      <c r="L10" s="7" t="inlineStr">
        <is>
          <t>Store</t>
        </is>
      </c>
      <c r="M10" s="42" t="n">
        <v>46090</v>
      </c>
      <c r="N10" s="42" t="n">
        <v>46090</v>
      </c>
      <c r="O10" s="5">
        <f>IF(C10="","",IF(OR(F10="Closed",F10=""),0,IF(N10&lt;&gt;"",MAX(0,N10-M10),MAX(0,TODAY()-IF(M10="",C10+IF(E10="Critical",Admin!$C$11,Admin!$C$10),M10)))))</f>
        <v/>
      </c>
      <c r="P10" s="5">
        <f>IF(D10="","",COUNTIFS($D$5:$D$250,D10,$I$5:$I$250,I10,$G$5:$G$250,G10))</f>
        <v/>
      </c>
      <c r="Q10" s="5">
        <f>IF(P10="","",IF(P10&gt;=3,"REPEAT ≥3",IF(P10=2,"REPEAT","Unique")))</f>
        <v/>
      </c>
      <c r="R10" s="7" t="inlineStr">
        <is>
          <t>Ahmed</t>
        </is>
      </c>
      <c r="T10" s="5">
        <f>IF(E10="","",IF(E10="Critical",25,IF(E10="High",16,IF(E10="Medium",9,4))))</f>
        <v/>
      </c>
      <c r="V10" s="47" t="inlineStr">
        <is>
          <t>Critical open</t>
        </is>
      </c>
      <c r="W10" s="5">
        <f>COUNTIFS(E5:E250,"Critical",F5:F250,"&lt;&gt;Closed")</f>
        <v/>
      </c>
    </row>
    <row r="11">
      <c r="B11" s="7" t="inlineStr">
        <is>
          <t>OBS-007</t>
        </is>
      </c>
      <c r="C11" s="42" t="n">
        <v>46090</v>
      </c>
      <c r="D11" s="7" t="inlineStr">
        <is>
          <t>Electrical</t>
        </is>
      </c>
      <c r="E11" s="7" t="inlineStr">
        <is>
          <t>High</t>
        </is>
      </c>
      <c r="F11" s="7" t="inlineStr">
        <is>
          <t>In Progress</t>
        </is>
      </c>
      <c r="G11" s="7" t="inlineStr">
        <is>
          <t>Electrical Subcontractor C</t>
        </is>
      </c>
      <c r="H11" s="7" t="inlineStr">
        <is>
          <t>PTW-0190</t>
        </is>
      </c>
      <c r="I11" s="7" t="inlineStr">
        <is>
          <t>MCC room</t>
        </is>
      </c>
      <c r="J11" s="7" t="inlineStr">
        <is>
          <t>Panel open, no electrical barrier, live</t>
        </is>
      </c>
      <c r="K11" s="7" t="inlineStr">
        <is>
          <t>Isolate, LOTO</t>
        </is>
      </c>
      <c r="L11" s="7" t="inlineStr">
        <is>
          <t>Elec Sup.</t>
        </is>
      </c>
      <c r="M11" s="42" t="n">
        <v>46091</v>
      </c>
      <c r="N11" s="42" t="inlineStr"/>
      <c r="O11" s="5">
        <f>IF(C11="","",IF(OR(F11="Closed",F11=""),0,IF(N11&lt;&gt;"",MAX(0,N11-M11),MAX(0,TODAY()-IF(M11="",C11+IF(E11="Critical",Admin!$C$11,Admin!$C$10),M11)))))</f>
        <v/>
      </c>
      <c r="P11" s="5">
        <f>IF(D11="","",COUNTIFS($D$5:$D$250,D11,$I$5:$I$250,I11,$G$5:$G$250,G11))</f>
        <v/>
      </c>
      <c r="Q11" s="5">
        <f>IF(P11="","",IF(P11&gt;=3,"REPEAT ≥3",IF(P11=2,"REPEAT","Unique")))</f>
        <v/>
      </c>
      <c r="R11" s="7" t="inlineStr">
        <is>
          <t>Nour</t>
        </is>
      </c>
      <c r="T11" s="5">
        <f>IF(E11="","",IF(E11="Critical",25,IF(E11="High",16,IF(E11="Medium",9,4))))</f>
        <v/>
      </c>
    </row>
    <row r="12">
      <c r="B12" s="7" t="inlineStr">
        <is>
          <t>OBS-008</t>
        </is>
      </c>
      <c r="C12" s="42" t="n">
        <v>46091</v>
      </c>
      <c r="D12" s="7" t="inlineStr">
        <is>
          <t>Confined Space</t>
        </is>
      </c>
      <c r="E12" s="7" t="inlineStr">
        <is>
          <t>Critical</t>
        </is>
      </c>
      <c r="F12" s="7" t="inlineStr">
        <is>
          <t>Open</t>
        </is>
      </c>
      <c r="G12" s="7" t="inlineStr">
        <is>
          <t>Mechanical Subcontractor B</t>
        </is>
      </c>
      <c r="H12" s="7" t="inlineStr">
        <is>
          <t>PTW-0199</t>
        </is>
      </c>
      <c r="I12" s="7" t="inlineStr">
        <is>
          <t>Tank T-12</t>
        </is>
      </c>
      <c r="J12" s="7" t="inlineStr">
        <is>
          <t>Entry without gas test / attendant</t>
        </is>
      </c>
      <c r="K12" s="7" t="inlineStr">
        <is>
          <t>Evacuate, CS procedure</t>
        </is>
      </c>
      <c r="L12" s="7" t="inlineStr">
        <is>
          <t>EHS Mgr</t>
        </is>
      </c>
      <c r="M12" s="42" t="n">
        <v>46091</v>
      </c>
      <c r="N12" s="42" t="inlineStr"/>
      <c r="O12" s="5">
        <f>IF(C12="","",IF(OR(F12="Closed",F12=""),0,IF(N12&lt;&gt;"",MAX(0,N12-M12),MAX(0,TODAY()-IF(M12="",C12+IF(E12="Critical",Admin!$C$11,Admin!$C$10),M12)))))</f>
        <v/>
      </c>
      <c r="P12" s="5">
        <f>IF(D12="","",COUNTIFS($D$5:$D$250,D12,$I$5:$I$250,I12,$G$5:$G$250,G12))</f>
        <v/>
      </c>
      <c r="Q12" s="5">
        <f>IF(P12="","",IF(P12&gt;=3,"REPEAT ≥3",IF(P12=2,"REPEAT","Unique")))</f>
        <v/>
      </c>
      <c r="R12" s="7" t="inlineStr">
        <is>
          <t>Sara</t>
        </is>
      </c>
      <c r="T12" s="5">
        <f>IF(E12="","",IF(E12="Critical",25,IF(E12="High",16,IF(E12="Medium",9,4))))</f>
        <v/>
      </c>
    </row>
    <row r="13">
      <c r="B13" s="7" t="n"/>
      <c r="C13" s="42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42" t="n"/>
      <c r="N13" s="42" t="n"/>
      <c r="O13" s="5">
        <f>IF(C13="","",IF(OR(F13="Closed",F13=""),0,IF(N13&lt;&gt;"",MAX(0,N13-M13),MAX(0,TODAY()-IF(M13="",C13+IF(E13="Critical",Admin!$C$11,Admin!$C$10),M13)))))</f>
        <v/>
      </c>
      <c r="P13" s="5">
        <f>IF(D13="","",COUNTIFS($D$5:$D$250,D13,$I$5:$I$250,I13,$G$5:$G$250,G13))</f>
        <v/>
      </c>
      <c r="Q13" s="5">
        <f>IF(P13="","",IF(P13&gt;=3,"REPEAT ≥3",IF(P13=2,"REPEAT","Unique")))</f>
        <v/>
      </c>
      <c r="R13" s="7" t="n"/>
      <c r="S13" s="7" t="n"/>
      <c r="T13" s="5">
        <f>IF(E13="","",IF(E13="Critical",25,IF(E13="High",16,IF(E13="Medium",9,4))))</f>
        <v/>
      </c>
    </row>
    <row r="14">
      <c r="B14" s="7" t="n"/>
      <c r="C14" s="42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42" t="n"/>
      <c r="N14" s="42" t="n"/>
      <c r="O14" s="5">
        <f>IF(C14="","",IF(OR(F14="Closed",F14=""),0,IF(N14&lt;&gt;"",MAX(0,N14-M14),MAX(0,TODAY()-IF(M14="",C14+IF(E14="Critical",Admin!$C$11,Admin!$C$10),M14)))))</f>
        <v/>
      </c>
      <c r="P14" s="5">
        <f>IF(D14="","",COUNTIFS($D$5:$D$250,D14,$I$5:$I$250,I14,$G$5:$G$250,G14))</f>
        <v/>
      </c>
      <c r="Q14" s="5">
        <f>IF(P14="","",IF(P14&gt;=3,"REPEAT ≥3",IF(P14=2,"REPEAT","Unique")))</f>
        <v/>
      </c>
      <c r="R14" s="7" t="n"/>
      <c r="S14" s="7" t="n"/>
      <c r="T14" s="5">
        <f>IF(E14="","",IF(E14="Critical",25,IF(E14="High",16,IF(E14="Medium",9,4))))</f>
        <v/>
      </c>
    </row>
    <row r="15">
      <c r="B15" s="7" t="n"/>
      <c r="C15" s="42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42" t="n"/>
      <c r="N15" s="42" t="n"/>
      <c r="O15" s="5">
        <f>IF(C15="","",IF(OR(F15="Closed",F15=""),0,IF(N15&lt;&gt;"",MAX(0,N15-M15),MAX(0,TODAY()-IF(M15="",C15+IF(E15="Critical",Admin!$C$11,Admin!$C$10),M15)))))</f>
        <v/>
      </c>
      <c r="P15" s="5">
        <f>IF(D15="","",COUNTIFS($D$5:$D$250,D15,$I$5:$I$250,I15,$G$5:$G$250,G15))</f>
        <v/>
      </c>
      <c r="Q15" s="5">
        <f>IF(P15="","",IF(P15&gt;=3,"REPEAT ≥3",IF(P15=2,"REPEAT","Unique")))</f>
        <v/>
      </c>
      <c r="R15" s="7" t="n"/>
      <c r="S15" s="7" t="n"/>
      <c r="T15" s="5">
        <f>IF(E15="","",IF(E15="Critical",25,IF(E15="High",16,IF(E15="Medium",9,4))))</f>
        <v/>
      </c>
    </row>
    <row r="16">
      <c r="B16" s="7" t="n"/>
      <c r="C16" s="42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42" t="n"/>
      <c r="N16" s="42" t="n"/>
      <c r="O16" s="5">
        <f>IF(C16="","",IF(OR(F16="Closed",F16=""),0,IF(N16&lt;&gt;"",MAX(0,N16-M16),MAX(0,TODAY()-IF(M16="",C16+IF(E16="Critical",Admin!$C$11,Admin!$C$10),M16)))))</f>
        <v/>
      </c>
      <c r="P16" s="5">
        <f>IF(D16="","",COUNTIFS($D$5:$D$250,D16,$I$5:$I$250,I16,$G$5:$G$250,G16))</f>
        <v/>
      </c>
      <c r="Q16" s="5">
        <f>IF(P16="","",IF(P16&gt;=3,"REPEAT ≥3",IF(P16=2,"REPEAT","Unique")))</f>
        <v/>
      </c>
      <c r="R16" s="7" t="n"/>
      <c r="S16" s="7" t="n"/>
      <c r="T16" s="5">
        <f>IF(E16="","",IF(E16="Critical",25,IF(E16="High",16,IF(E16="Medium",9,4))))</f>
        <v/>
      </c>
    </row>
    <row r="17">
      <c r="B17" s="7" t="n"/>
      <c r="C17" s="42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42" t="n"/>
      <c r="N17" s="42" t="n"/>
      <c r="O17" s="5">
        <f>IF(C17="","",IF(OR(F17="Closed",F17=""),0,IF(N17&lt;&gt;"",MAX(0,N17-M17),MAX(0,TODAY()-IF(M17="",C17+IF(E17="Critical",Admin!$C$11,Admin!$C$10),M17)))))</f>
        <v/>
      </c>
      <c r="P17" s="5">
        <f>IF(D17="","",COUNTIFS($D$5:$D$250,D17,$I$5:$I$250,I17,$G$5:$G$250,G17))</f>
        <v/>
      </c>
      <c r="Q17" s="5">
        <f>IF(P17="","",IF(P17&gt;=3,"REPEAT ≥3",IF(P17=2,"REPEAT","Unique")))</f>
        <v/>
      </c>
      <c r="R17" s="7" t="n"/>
      <c r="S17" s="7" t="n"/>
      <c r="T17" s="5">
        <f>IF(E17="","",IF(E17="Critical",25,IF(E17="High",16,IF(E17="Medium",9,4))))</f>
        <v/>
      </c>
    </row>
    <row r="18">
      <c r="B18" s="7" t="n"/>
      <c r="C18" s="42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42" t="n"/>
      <c r="N18" s="42" t="n"/>
      <c r="O18" s="5">
        <f>IF(C18="","",IF(OR(F18="Closed",F18=""),0,IF(N18&lt;&gt;"",MAX(0,N18-M18),MAX(0,TODAY()-IF(M18="",C18+IF(E18="Critical",Admin!$C$11,Admin!$C$10),M18)))))</f>
        <v/>
      </c>
      <c r="P18" s="5">
        <f>IF(D18="","",COUNTIFS($D$5:$D$250,D18,$I$5:$I$250,I18,$G$5:$G$250,G18))</f>
        <v/>
      </c>
      <c r="Q18" s="5">
        <f>IF(P18="","",IF(P18&gt;=3,"REPEAT ≥3",IF(P18=2,"REPEAT","Unique")))</f>
        <v/>
      </c>
      <c r="R18" s="7" t="n"/>
      <c r="S18" s="7" t="n"/>
      <c r="T18" s="5">
        <f>IF(E18="","",IF(E18="Critical",25,IF(E18="High",16,IF(E18="Medium",9,4))))</f>
        <v/>
      </c>
    </row>
    <row r="19">
      <c r="B19" s="7" t="n"/>
      <c r="C19" s="42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42" t="n"/>
      <c r="N19" s="42" t="n"/>
      <c r="O19" s="5">
        <f>IF(C19="","",IF(OR(F19="Closed",F19=""),0,IF(N19&lt;&gt;"",MAX(0,N19-M19),MAX(0,TODAY()-IF(M19="",C19+IF(E19="Critical",Admin!$C$11,Admin!$C$10),M19)))))</f>
        <v/>
      </c>
      <c r="P19" s="5">
        <f>IF(D19="","",COUNTIFS($D$5:$D$250,D19,$I$5:$I$250,I19,$G$5:$G$250,G19))</f>
        <v/>
      </c>
      <c r="Q19" s="5">
        <f>IF(P19="","",IF(P19&gt;=3,"REPEAT ≥3",IF(P19=2,"REPEAT","Unique")))</f>
        <v/>
      </c>
      <c r="R19" s="7" t="n"/>
      <c r="S19" s="7" t="n"/>
      <c r="T19" s="5">
        <f>IF(E19="","",IF(E19="Critical",25,IF(E19="High",16,IF(E19="Medium",9,4))))</f>
        <v/>
      </c>
    </row>
    <row r="20">
      <c r="B20" s="7" t="n"/>
      <c r="C20" s="42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42" t="n"/>
      <c r="N20" s="42" t="n"/>
      <c r="O20" s="5">
        <f>IF(C20="","",IF(OR(F20="Closed",F20=""),0,IF(N20&lt;&gt;"",MAX(0,N20-M20),MAX(0,TODAY()-IF(M20="",C20+IF(E20="Critical",Admin!$C$11,Admin!$C$10),M20)))))</f>
        <v/>
      </c>
      <c r="P20" s="5">
        <f>IF(D20="","",COUNTIFS($D$5:$D$250,D20,$I$5:$I$250,I20,$G$5:$G$250,G20))</f>
        <v/>
      </c>
      <c r="Q20" s="5">
        <f>IF(P20="","",IF(P20&gt;=3,"REPEAT ≥3",IF(P20=2,"REPEAT","Unique")))</f>
        <v/>
      </c>
      <c r="R20" s="7" t="n"/>
      <c r="S20" s="7" t="n"/>
      <c r="T20" s="5">
        <f>IF(E20="","",IF(E20="Critical",25,IF(E20="High",16,IF(E20="Medium",9,4))))</f>
        <v/>
      </c>
    </row>
    <row r="21">
      <c r="B21" s="7" t="n"/>
      <c r="C21" s="42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42" t="n"/>
      <c r="N21" s="42" t="n"/>
      <c r="O21" s="5">
        <f>IF(C21="","",IF(OR(F21="Closed",F21=""),0,IF(N21&lt;&gt;"",MAX(0,N21-M21),MAX(0,TODAY()-IF(M21="",C21+IF(E21="Critical",Admin!$C$11,Admin!$C$10),M21)))))</f>
        <v/>
      </c>
      <c r="P21" s="5">
        <f>IF(D21="","",COUNTIFS($D$5:$D$250,D21,$I$5:$I$250,I21,$G$5:$G$250,G21))</f>
        <v/>
      </c>
      <c r="Q21" s="5">
        <f>IF(P21="","",IF(P21&gt;=3,"REPEAT ≥3",IF(P21=2,"REPEAT","Unique")))</f>
        <v/>
      </c>
      <c r="R21" s="7" t="n"/>
      <c r="S21" s="7" t="n"/>
      <c r="T21" s="5">
        <f>IF(E21="","",IF(E21="Critical",25,IF(E21="High",16,IF(E21="Medium",9,4))))</f>
        <v/>
      </c>
    </row>
    <row r="22">
      <c r="B22" s="7" t="n"/>
      <c r="C22" s="42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42" t="n"/>
      <c r="N22" s="42" t="n"/>
      <c r="O22" s="5">
        <f>IF(C22="","",IF(OR(F22="Closed",F22=""),0,IF(N22&lt;&gt;"",MAX(0,N22-M22),MAX(0,TODAY()-IF(M22="",C22+IF(E22="Critical",Admin!$C$11,Admin!$C$10),M22)))))</f>
        <v/>
      </c>
      <c r="P22" s="5">
        <f>IF(D22="","",COUNTIFS($D$5:$D$250,D22,$I$5:$I$250,I22,$G$5:$G$250,G22))</f>
        <v/>
      </c>
      <c r="Q22" s="5">
        <f>IF(P22="","",IF(P22&gt;=3,"REPEAT ≥3",IF(P22=2,"REPEAT","Unique")))</f>
        <v/>
      </c>
      <c r="R22" s="7" t="n"/>
      <c r="S22" s="7" t="n"/>
      <c r="T22" s="5">
        <f>IF(E22="","",IF(E22="Critical",25,IF(E22="High",16,IF(E22="Medium",9,4))))</f>
        <v/>
      </c>
    </row>
    <row r="23">
      <c r="B23" s="7" t="n"/>
      <c r="C23" s="42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42" t="n"/>
      <c r="N23" s="42" t="n"/>
      <c r="O23" s="5">
        <f>IF(C23="","",IF(OR(F23="Closed",F23=""),0,IF(N23&lt;&gt;"",MAX(0,N23-M23),MAX(0,TODAY()-IF(M23="",C23+IF(E23="Critical",Admin!$C$11,Admin!$C$10),M23)))))</f>
        <v/>
      </c>
      <c r="P23" s="5">
        <f>IF(D23="","",COUNTIFS($D$5:$D$250,D23,$I$5:$I$250,I23,$G$5:$G$250,G23))</f>
        <v/>
      </c>
      <c r="Q23" s="5">
        <f>IF(P23="","",IF(P23&gt;=3,"REPEAT ≥3",IF(P23=2,"REPEAT","Unique")))</f>
        <v/>
      </c>
      <c r="R23" s="7" t="n"/>
      <c r="S23" s="7" t="n"/>
      <c r="T23" s="5">
        <f>IF(E23="","",IF(E23="Critical",25,IF(E23="High",16,IF(E23="Medium",9,4))))</f>
        <v/>
      </c>
    </row>
    <row r="24">
      <c r="B24" s="7" t="n"/>
      <c r="C24" s="42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42" t="n"/>
      <c r="N24" s="42" t="n"/>
      <c r="O24" s="5">
        <f>IF(C24="","",IF(OR(F24="Closed",F24=""),0,IF(N24&lt;&gt;"",MAX(0,N24-M24),MAX(0,TODAY()-IF(M24="",C24+IF(E24="Critical",Admin!$C$11,Admin!$C$10),M24)))))</f>
        <v/>
      </c>
      <c r="P24" s="5">
        <f>IF(D24="","",COUNTIFS($D$5:$D$250,D24,$I$5:$I$250,I24,$G$5:$G$250,G24))</f>
        <v/>
      </c>
      <c r="Q24" s="5">
        <f>IF(P24="","",IF(P24&gt;=3,"REPEAT ≥3",IF(P24=2,"REPEAT","Unique")))</f>
        <v/>
      </c>
      <c r="R24" s="7" t="n"/>
      <c r="S24" s="7" t="n"/>
      <c r="T24" s="5">
        <f>IF(E24="","",IF(E24="Critical",25,IF(E24="High",16,IF(E24="Medium",9,4))))</f>
        <v/>
      </c>
    </row>
    <row r="25">
      <c r="B25" s="7" t="n"/>
      <c r="C25" s="42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42" t="n"/>
      <c r="N25" s="42" t="n"/>
      <c r="O25" s="5">
        <f>IF(C25="","",IF(OR(F25="Closed",F25=""),0,IF(N25&lt;&gt;"",MAX(0,N25-M25),MAX(0,TODAY()-IF(M25="",C25+IF(E25="Critical",Admin!$C$11,Admin!$C$10),M25)))))</f>
        <v/>
      </c>
      <c r="P25" s="5">
        <f>IF(D25="","",COUNTIFS($D$5:$D$250,D25,$I$5:$I$250,I25,$G$5:$G$250,G25))</f>
        <v/>
      </c>
      <c r="Q25" s="5">
        <f>IF(P25="","",IF(P25&gt;=3,"REPEAT ≥3",IF(P25=2,"REPEAT","Unique")))</f>
        <v/>
      </c>
      <c r="R25" s="7" t="n"/>
      <c r="S25" s="7" t="n"/>
      <c r="T25" s="5">
        <f>IF(E25="","",IF(E25="Critical",25,IF(E25="High",16,IF(E25="Medium",9,4))))</f>
        <v/>
      </c>
    </row>
    <row r="26">
      <c r="B26" s="7" t="n"/>
      <c r="C26" s="42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42" t="n"/>
      <c r="N26" s="42" t="n"/>
      <c r="O26" s="5">
        <f>IF(C26="","",IF(OR(F26="Closed",F26=""),0,IF(N26&lt;&gt;"",MAX(0,N26-M26),MAX(0,TODAY()-IF(M26="",C26+IF(E26="Critical",Admin!$C$11,Admin!$C$10),M26)))))</f>
        <v/>
      </c>
      <c r="P26" s="5">
        <f>IF(D26="","",COUNTIFS($D$5:$D$250,D26,$I$5:$I$250,I26,$G$5:$G$250,G26))</f>
        <v/>
      </c>
      <c r="Q26" s="5">
        <f>IF(P26="","",IF(P26&gt;=3,"REPEAT ≥3",IF(P26=2,"REPEAT","Unique")))</f>
        <v/>
      </c>
      <c r="R26" s="7" t="n"/>
      <c r="S26" s="7" t="n"/>
      <c r="T26" s="5">
        <f>IF(E26="","",IF(E26="Critical",25,IF(E26="High",16,IF(E26="Medium",9,4))))</f>
        <v/>
      </c>
    </row>
    <row r="27">
      <c r="B27" s="7" t="n"/>
      <c r="C27" s="42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42" t="n"/>
      <c r="N27" s="42" t="n"/>
      <c r="O27" s="5">
        <f>IF(C27="","",IF(OR(F27="Closed",F27=""),0,IF(N27&lt;&gt;"",MAX(0,N27-M27),MAX(0,TODAY()-IF(M27="",C27+IF(E27="Critical",Admin!$C$11,Admin!$C$10),M27)))))</f>
        <v/>
      </c>
      <c r="P27" s="5">
        <f>IF(D27="","",COUNTIFS($D$5:$D$250,D27,$I$5:$I$250,I27,$G$5:$G$250,G27))</f>
        <v/>
      </c>
      <c r="Q27" s="5">
        <f>IF(P27="","",IF(P27&gt;=3,"REPEAT ≥3",IF(P27=2,"REPEAT","Unique")))</f>
        <v/>
      </c>
      <c r="R27" s="7" t="n"/>
      <c r="S27" s="7" t="n"/>
      <c r="T27" s="5">
        <f>IF(E27="","",IF(E27="Critical",25,IF(E27="High",16,IF(E27="Medium",9,4))))</f>
        <v/>
      </c>
    </row>
    <row r="28">
      <c r="B28" s="7" t="n"/>
      <c r="C28" s="42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42" t="n"/>
      <c r="N28" s="42" t="n"/>
      <c r="O28" s="5">
        <f>IF(C28="","",IF(OR(F28="Closed",F28=""),0,IF(N28&lt;&gt;"",MAX(0,N28-M28),MAX(0,TODAY()-IF(M28="",C28+IF(E28="Critical",Admin!$C$11,Admin!$C$10),M28)))))</f>
        <v/>
      </c>
      <c r="P28" s="5">
        <f>IF(D28="","",COUNTIFS($D$5:$D$250,D28,$I$5:$I$250,I28,$G$5:$G$250,G28))</f>
        <v/>
      </c>
      <c r="Q28" s="5">
        <f>IF(P28="","",IF(P28&gt;=3,"REPEAT ≥3",IF(P28=2,"REPEAT","Unique")))</f>
        <v/>
      </c>
      <c r="R28" s="7" t="n"/>
      <c r="S28" s="7" t="n"/>
      <c r="T28" s="5">
        <f>IF(E28="","",IF(E28="Critical",25,IF(E28="High",16,IF(E28="Medium",9,4))))</f>
        <v/>
      </c>
    </row>
    <row r="29">
      <c r="B29" s="7" t="n"/>
      <c r="C29" s="42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42" t="n"/>
      <c r="N29" s="42" t="n"/>
      <c r="O29" s="5">
        <f>IF(C29="","",IF(OR(F29="Closed",F29=""),0,IF(N29&lt;&gt;"",MAX(0,N29-M29),MAX(0,TODAY()-IF(M29="",C29+IF(E29="Critical",Admin!$C$11,Admin!$C$10),M29)))))</f>
        <v/>
      </c>
      <c r="P29" s="5">
        <f>IF(D29="","",COUNTIFS($D$5:$D$250,D29,$I$5:$I$250,I29,$G$5:$G$250,G29))</f>
        <v/>
      </c>
      <c r="Q29" s="5">
        <f>IF(P29="","",IF(P29&gt;=3,"REPEAT ≥3",IF(P29=2,"REPEAT","Unique")))</f>
        <v/>
      </c>
      <c r="R29" s="7" t="n"/>
      <c r="S29" s="7" t="n"/>
      <c r="T29" s="5">
        <f>IF(E29="","",IF(E29="Critical",25,IF(E29="High",16,IF(E29="Medium",9,4))))</f>
        <v/>
      </c>
    </row>
    <row r="30">
      <c r="B30" s="7" t="n"/>
      <c r="C30" s="42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42" t="n"/>
      <c r="N30" s="42" t="n"/>
      <c r="O30" s="5">
        <f>IF(C30="","",IF(OR(F30="Closed",F30=""),0,IF(N30&lt;&gt;"",MAX(0,N30-M30),MAX(0,TODAY()-IF(M30="",C30+IF(E30="Critical",Admin!$C$11,Admin!$C$10),M30)))))</f>
        <v/>
      </c>
      <c r="P30" s="5">
        <f>IF(D30="","",COUNTIFS($D$5:$D$250,D30,$I$5:$I$250,I30,$G$5:$G$250,G30))</f>
        <v/>
      </c>
      <c r="Q30" s="5">
        <f>IF(P30="","",IF(P30&gt;=3,"REPEAT ≥3",IF(P30=2,"REPEAT","Unique")))</f>
        <v/>
      </c>
      <c r="R30" s="7" t="n"/>
      <c r="S30" s="7" t="n"/>
      <c r="T30" s="5">
        <f>IF(E30="","",IF(E30="Critical",25,IF(E30="High",16,IF(E30="Medium",9,4))))</f>
        <v/>
      </c>
    </row>
    <row r="31">
      <c r="B31" s="7" t="n"/>
      <c r="C31" s="42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42" t="n"/>
      <c r="N31" s="42" t="n"/>
      <c r="O31" s="5">
        <f>IF(C31="","",IF(OR(F31="Closed",F31=""),0,IF(N31&lt;&gt;"",MAX(0,N31-M31),MAX(0,TODAY()-IF(M31="",C31+IF(E31="Critical",Admin!$C$11,Admin!$C$10),M31)))))</f>
        <v/>
      </c>
      <c r="P31" s="5">
        <f>IF(D31="","",COUNTIFS($D$5:$D$250,D31,$I$5:$I$250,I31,$G$5:$G$250,G31))</f>
        <v/>
      </c>
      <c r="Q31" s="5">
        <f>IF(P31="","",IF(P31&gt;=3,"REPEAT ≥3",IF(P31=2,"REPEAT","Unique")))</f>
        <v/>
      </c>
      <c r="R31" s="7" t="n"/>
      <c r="S31" s="7" t="n"/>
      <c r="T31" s="5">
        <f>IF(E31="","",IF(E31="Critical",25,IF(E31="High",16,IF(E31="Medium",9,4))))</f>
        <v/>
      </c>
    </row>
    <row r="32">
      <c r="B32" s="7" t="n"/>
      <c r="C32" s="42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42" t="n"/>
      <c r="N32" s="42" t="n"/>
      <c r="O32" s="5">
        <f>IF(C32="","",IF(OR(F32="Closed",F32=""),0,IF(N32&lt;&gt;"",MAX(0,N32-M32),MAX(0,TODAY()-IF(M32="",C32+IF(E32="Critical",Admin!$C$11,Admin!$C$10),M32)))))</f>
        <v/>
      </c>
      <c r="P32" s="5">
        <f>IF(D32="","",COUNTIFS($D$5:$D$250,D32,$I$5:$I$250,I32,$G$5:$G$250,G32))</f>
        <v/>
      </c>
      <c r="Q32" s="5">
        <f>IF(P32="","",IF(P32&gt;=3,"REPEAT ≥3",IF(P32=2,"REPEAT","Unique")))</f>
        <v/>
      </c>
      <c r="R32" s="7" t="n"/>
      <c r="S32" s="7" t="n"/>
      <c r="T32" s="5">
        <f>IF(E32="","",IF(E32="Critical",25,IF(E32="High",16,IF(E32="Medium",9,4))))</f>
        <v/>
      </c>
    </row>
    <row r="33">
      <c r="B33" s="7" t="n"/>
      <c r="C33" s="42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42" t="n"/>
      <c r="N33" s="42" t="n"/>
      <c r="O33" s="5">
        <f>IF(C33="","",IF(OR(F33="Closed",F33=""),0,IF(N33&lt;&gt;"",MAX(0,N33-M33),MAX(0,TODAY()-IF(M33="",C33+IF(E33="Critical",Admin!$C$11,Admin!$C$10),M33)))))</f>
        <v/>
      </c>
      <c r="P33" s="5">
        <f>IF(D33="","",COUNTIFS($D$5:$D$250,D33,$I$5:$I$250,I33,$G$5:$G$250,G33))</f>
        <v/>
      </c>
      <c r="Q33" s="5">
        <f>IF(P33="","",IF(P33&gt;=3,"REPEAT ≥3",IF(P33=2,"REPEAT","Unique")))</f>
        <v/>
      </c>
      <c r="R33" s="7" t="n"/>
      <c r="S33" s="7" t="n"/>
      <c r="T33" s="5">
        <f>IF(E33="","",IF(E33="Critical",25,IF(E33="High",16,IF(E33="Medium",9,4))))</f>
        <v/>
      </c>
    </row>
    <row r="34">
      <c r="B34" s="7" t="n"/>
      <c r="C34" s="42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42" t="n"/>
      <c r="N34" s="42" t="n"/>
      <c r="O34" s="5">
        <f>IF(C34="","",IF(OR(F34="Closed",F34=""),0,IF(N34&lt;&gt;"",MAX(0,N34-M34),MAX(0,TODAY()-IF(M34="",C34+IF(E34="Critical",Admin!$C$11,Admin!$C$10),M34)))))</f>
        <v/>
      </c>
      <c r="P34" s="5">
        <f>IF(D34="","",COUNTIFS($D$5:$D$250,D34,$I$5:$I$250,I34,$G$5:$G$250,G34))</f>
        <v/>
      </c>
      <c r="Q34" s="5">
        <f>IF(P34="","",IF(P34&gt;=3,"REPEAT ≥3",IF(P34=2,"REPEAT","Unique")))</f>
        <v/>
      </c>
      <c r="R34" s="7" t="n"/>
      <c r="S34" s="7" t="n"/>
      <c r="T34" s="5">
        <f>IF(E34="","",IF(E34="Critical",25,IF(E34="High",16,IF(E34="Medium",9,4))))</f>
        <v/>
      </c>
    </row>
    <row r="35">
      <c r="B35" s="7" t="n"/>
      <c r="C35" s="42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42" t="n"/>
      <c r="N35" s="42" t="n"/>
      <c r="O35" s="5">
        <f>IF(C35="","",IF(OR(F35="Closed",F35=""),0,IF(N35&lt;&gt;"",MAX(0,N35-M35),MAX(0,TODAY()-IF(M35="",C35+IF(E35="Critical",Admin!$C$11,Admin!$C$10),M35)))))</f>
        <v/>
      </c>
      <c r="P35" s="5">
        <f>IF(D35="","",COUNTIFS($D$5:$D$250,D35,$I$5:$I$250,I35,$G$5:$G$250,G35))</f>
        <v/>
      </c>
      <c r="Q35" s="5">
        <f>IF(P35="","",IF(P35&gt;=3,"REPEAT ≥3",IF(P35=2,"REPEAT","Unique")))</f>
        <v/>
      </c>
      <c r="R35" s="7" t="n"/>
      <c r="S35" s="7" t="n"/>
      <c r="T35" s="5">
        <f>IF(E35="","",IF(E35="Critical",25,IF(E35="High",16,IF(E35="Medium",9,4))))</f>
        <v/>
      </c>
    </row>
    <row r="36">
      <c r="B36" s="7" t="n"/>
      <c r="C36" s="42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42" t="n"/>
      <c r="N36" s="42" t="n"/>
      <c r="O36" s="5">
        <f>IF(C36="","",IF(OR(F36="Closed",F36=""),0,IF(N36&lt;&gt;"",MAX(0,N36-M36),MAX(0,TODAY()-IF(M36="",C36+IF(E36="Critical",Admin!$C$11,Admin!$C$10),M36)))))</f>
        <v/>
      </c>
      <c r="P36" s="5">
        <f>IF(D36="","",COUNTIFS($D$5:$D$250,D36,$I$5:$I$250,I36,$G$5:$G$250,G36))</f>
        <v/>
      </c>
      <c r="Q36" s="5">
        <f>IF(P36="","",IF(P36&gt;=3,"REPEAT ≥3",IF(P36=2,"REPEAT","Unique")))</f>
        <v/>
      </c>
      <c r="R36" s="7" t="n"/>
      <c r="S36" s="7" t="n"/>
      <c r="T36" s="5">
        <f>IF(E36="","",IF(E36="Critical",25,IF(E36="High",16,IF(E36="Medium",9,4))))</f>
        <v/>
      </c>
    </row>
    <row r="37">
      <c r="B37" s="7" t="n"/>
      <c r="C37" s="42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42" t="n"/>
      <c r="N37" s="42" t="n"/>
      <c r="O37" s="5">
        <f>IF(C37="","",IF(OR(F37="Closed",F37=""),0,IF(N37&lt;&gt;"",MAX(0,N37-M37),MAX(0,TODAY()-IF(M37="",C37+IF(E37="Critical",Admin!$C$11,Admin!$C$10),M37)))))</f>
        <v/>
      </c>
      <c r="P37" s="5">
        <f>IF(D37="","",COUNTIFS($D$5:$D$250,D37,$I$5:$I$250,I37,$G$5:$G$250,G37))</f>
        <v/>
      </c>
      <c r="Q37" s="5">
        <f>IF(P37="","",IF(P37&gt;=3,"REPEAT ≥3",IF(P37=2,"REPEAT","Unique")))</f>
        <v/>
      </c>
      <c r="R37" s="7" t="n"/>
      <c r="S37" s="7" t="n"/>
      <c r="T37" s="5">
        <f>IF(E37="","",IF(E37="Critical",25,IF(E37="High",16,IF(E37="Medium",9,4))))</f>
        <v/>
      </c>
    </row>
    <row r="38">
      <c r="B38" s="7" t="n"/>
      <c r="C38" s="42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42" t="n"/>
      <c r="N38" s="42" t="n"/>
      <c r="O38" s="5">
        <f>IF(C38="","",IF(OR(F38="Closed",F38=""),0,IF(N38&lt;&gt;"",MAX(0,N38-M38),MAX(0,TODAY()-IF(M38="",C38+IF(E38="Critical",Admin!$C$11,Admin!$C$10),M38)))))</f>
        <v/>
      </c>
      <c r="P38" s="5">
        <f>IF(D38="","",COUNTIFS($D$5:$D$250,D38,$I$5:$I$250,I38,$G$5:$G$250,G38))</f>
        <v/>
      </c>
      <c r="Q38" s="5">
        <f>IF(P38="","",IF(P38&gt;=3,"REPEAT ≥3",IF(P38=2,"REPEAT","Unique")))</f>
        <v/>
      </c>
      <c r="R38" s="7" t="n"/>
      <c r="S38" s="7" t="n"/>
      <c r="T38" s="5">
        <f>IF(E38="","",IF(E38="Critical",25,IF(E38="High",16,IF(E38="Medium",9,4))))</f>
        <v/>
      </c>
    </row>
    <row r="39">
      <c r="B39" s="7" t="n"/>
      <c r="C39" s="42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42" t="n"/>
      <c r="N39" s="42" t="n"/>
      <c r="O39" s="5">
        <f>IF(C39="","",IF(OR(F39="Closed",F39=""),0,IF(N39&lt;&gt;"",MAX(0,N39-M39),MAX(0,TODAY()-IF(M39="",C39+IF(E39="Critical",Admin!$C$11,Admin!$C$10),M39)))))</f>
        <v/>
      </c>
      <c r="P39" s="5">
        <f>IF(D39="","",COUNTIFS($D$5:$D$250,D39,$I$5:$I$250,I39,$G$5:$G$250,G39))</f>
        <v/>
      </c>
      <c r="Q39" s="5">
        <f>IF(P39="","",IF(P39&gt;=3,"REPEAT ≥3",IF(P39=2,"REPEAT","Unique")))</f>
        <v/>
      </c>
      <c r="R39" s="7" t="n"/>
      <c r="S39" s="7" t="n"/>
      <c r="T39" s="5">
        <f>IF(E39="","",IF(E39="Critical",25,IF(E39="High",16,IF(E39="Medium",9,4))))</f>
        <v/>
      </c>
    </row>
    <row r="40">
      <c r="B40" s="7" t="n"/>
      <c r="C40" s="42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42" t="n"/>
      <c r="N40" s="42" t="n"/>
      <c r="O40" s="5">
        <f>IF(C40="","",IF(OR(F40="Closed",F40=""),0,IF(N40&lt;&gt;"",MAX(0,N40-M40),MAX(0,TODAY()-IF(M40="",C40+IF(E40="Critical",Admin!$C$11,Admin!$C$10),M40)))))</f>
        <v/>
      </c>
      <c r="P40" s="5">
        <f>IF(D40="","",COUNTIFS($D$5:$D$250,D40,$I$5:$I$250,I40,$G$5:$G$250,G40))</f>
        <v/>
      </c>
      <c r="Q40" s="5">
        <f>IF(P40="","",IF(P40&gt;=3,"REPEAT ≥3",IF(P40=2,"REPEAT","Unique")))</f>
        <v/>
      </c>
      <c r="R40" s="7" t="n"/>
      <c r="S40" s="7" t="n"/>
      <c r="T40" s="5">
        <f>IF(E40="","",IF(E40="Critical",25,IF(E40="High",16,IF(E40="Medium",9,4))))</f>
        <v/>
      </c>
    </row>
    <row r="41">
      <c r="B41" s="7" t="n"/>
      <c r="C41" s="42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42" t="n"/>
      <c r="N41" s="42" t="n"/>
      <c r="O41" s="5">
        <f>IF(C41="","",IF(OR(F41="Closed",F41=""),0,IF(N41&lt;&gt;"",MAX(0,N41-M41),MAX(0,TODAY()-IF(M41="",C41+IF(E41="Critical",Admin!$C$11,Admin!$C$10),M41)))))</f>
        <v/>
      </c>
      <c r="P41" s="5">
        <f>IF(D41="","",COUNTIFS($D$5:$D$250,D41,$I$5:$I$250,I41,$G$5:$G$250,G41))</f>
        <v/>
      </c>
      <c r="Q41" s="5">
        <f>IF(P41="","",IF(P41&gt;=3,"REPEAT ≥3",IF(P41=2,"REPEAT","Unique")))</f>
        <v/>
      </c>
      <c r="R41" s="7" t="n"/>
      <c r="S41" s="7" t="n"/>
      <c r="T41" s="5">
        <f>IF(E41="","",IF(E41="Critical",25,IF(E41="High",16,IF(E41="Medium",9,4))))</f>
        <v/>
      </c>
    </row>
    <row r="42">
      <c r="B42" s="7" t="n"/>
      <c r="C42" s="42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42" t="n"/>
      <c r="N42" s="42" t="n"/>
      <c r="O42" s="5">
        <f>IF(C42="","",IF(OR(F42="Closed",F42=""),0,IF(N42&lt;&gt;"",MAX(0,N42-M42),MAX(0,TODAY()-IF(M42="",C42+IF(E42="Critical",Admin!$C$11,Admin!$C$10),M42)))))</f>
        <v/>
      </c>
      <c r="P42" s="5">
        <f>IF(D42="","",COUNTIFS($D$5:$D$250,D42,$I$5:$I$250,I42,$G$5:$G$250,G42))</f>
        <v/>
      </c>
      <c r="Q42" s="5">
        <f>IF(P42="","",IF(P42&gt;=3,"REPEAT ≥3",IF(P42=2,"REPEAT","Unique")))</f>
        <v/>
      </c>
      <c r="R42" s="7" t="n"/>
      <c r="S42" s="7" t="n"/>
      <c r="T42" s="5">
        <f>IF(E42="","",IF(E42="Critical",25,IF(E42="High",16,IF(E42="Medium",9,4))))</f>
        <v/>
      </c>
    </row>
    <row r="43">
      <c r="B43" s="7" t="n"/>
      <c r="C43" s="42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42" t="n"/>
      <c r="N43" s="42" t="n"/>
      <c r="O43" s="5">
        <f>IF(C43="","",IF(OR(F43="Closed",F43=""),0,IF(N43&lt;&gt;"",MAX(0,N43-M43),MAX(0,TODAY()-IF(M43="",C43+IF(E43="Critical",Admin!$C$11,Admin!$C$10),M43)))))</f>
        <v/>
      </c>
      <c r="P43" s="5">
        <f>IF(D43="","",COUNTIFS($D$5:$D$250,D43,$I$5:$I$250,I43,$G$5:$G$250,G43))</f>
        <v/>
      </c>
      <c r="Q43" s="5">
        <f>IF(P43="","",IF(P43&gt;=3,"REPEAT ≥3",IF(P43=2,"REPEAT","Unique")))</f>
        <v/>
      </c>
      <c r="R43" s="7" t="n"/>
      <c r="S43" s="7" t="n"/>
      <c r="T43" s="5">
        <f>IF(E43="","",IF(E43="Critical",25,IF(E43="High",16,IF(E43="Medium",9,4))))</f>
        <v/>
      </c>
    </row>
    <row r="44">
      <c r="B44" s="7" t="n"/>
      <c r="C44" s="42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42" t="n"/>
      <c r="N44" s="42" t="n"/>
      <c r="O44" s="5">
        <f>IF(C44="","",IF(OR(F44="Closed",F44=""),0,IF(N44&lt;&gt;"",MAX(0,N44-M44),MAX(0,TODAY()-IF(M44="",C44+IF(E44="Critical",Admin!$C$11,Admin!$C$10),M44)))))</f>
        <v/>
      </c>
      <c r="P44" s="5">
        <f>IF(D44="","",COUNTIFS($D$5:$D$250,D44,$I$5:$I$250,I44,$G$5:$G$250,G44))</f>
        <v/>
      </c>
      <c r="Q44" s="5">
        <f>IF(P44="","",IF(P44&gt;=3,"REPEAT ≥3",IF(P44=2,"REPEAT","Unique")))</f>
        <v/>
      </c>
      <c r="R44" s="7" t="n"/>
      <c r="S44" s="7" t="n"/>
      <c r="T44" s="5">
        <f>IF(E44="","",IF(E44="Critical",25,IF(E44="High",16,IF(E44="Medium",9,4))))</f>
        <v/>
      </c>
    </row>
    <row r="45">
      <c r="B45" s="7" t="n"/>
      <c r="C45" s="42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42" t="n"/>
      <c r="N45" s="42" t="n"/>
      <c r="O45" s="5">
        <f>IF(C45="","",IF(OR(F45="Closed",F45=""),0,IF(N45&lt;&gt;"",MAX(0,N45-M45),MAX(0,TODAY()-IF(M45="",C45+IF(E45="Critical",Admin!$C$11,Admin!$C$10),M45)))))</f>
        <v/>
      </c>
      <c r="P45" s="5">
        <f>IF(D45="","",COUNTIFS($D$5:$D$250,D45,$I$5:$I$250,I45,$G$5:$G$250,G45))</f>
        <v/>
      </c>
      <c r="Q45" s="5">
        <f>IF(P45="","",IF(P45&gt;=3,"REPEAT ≥3",IF(P45=2,"REPEAT","Unique")))</f>
        <v/>
      </c>
      <c r="R45" s="7" t="n"/>
      <c r="S45" s="7" t="n"/>
      <c r="T45" s="5">
        <f>IF(E45="","",IF(E45="Critical",25,IF(E45="High",16,IF(E45="Medium",9,4))))</f>
        <v/>
      </c>
    </row>
    <row r="46">
      <c r="B46" s="7" t="n"/>
      <c r="C46" s="42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42" t="n"/>
      <c r="N46" s="42" t="n"/>
      <c r="O46" s="5">
        <f>IF(C46="","",IF(OR(F46="Closed",F46=""),0,IF(N46&lt;&gt;"",MAX(0,N46-M46),MAX(0,TODAY()-IF(M46="",C46+IF(E46="Critical",Admin!$C$11,Admin!$C$10),M46)))))</f>
        <v/>
      </c>
      <c r="P46" s="5">
        <f>IF(D46="","",COUNTIFS($D$5:$D$250,D46,$I$5:$I$250,I46,$G$5:$G$250,G46))</f>
        <v/>
      </c>
      <c r="Q46" s="5">
        <f>IF(P46="","",IF(P46&gt;=3,"REPEAT ≥3",IF(P46=2,"REPEAT","Unique")))</f>
        <v/>
      </c>
      <c r="R46" s="7" t="n"/>
      <c r="S46" s="7" t="n"/>
      <c r="T46" s="5">
        <f>IF(E46="","",IF(E46="Critical",25,IF(E46="High",16,IF(E46="Medium",9,4))))</f>
        <v/>
      </c>
    </row>
    <row r="47">
      <c r="B47" s="7" t="n"/>
      <c r="C47" s="42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42" t="n"/>
      <c r="N47" s="42" t="n"/>
      <c r="O47" s="5">
        <f>IF(C47="","",IF(OR(F47="Closed",F47=""),0,IF(N47&lt;&gt;"",MAX(0,N47-M47),MAX(0,TODAY()-IF(M47="",C47+IF(E47="Critical",Admin!$C$11,Admin!$C$10),M47)))))</f>
        <v/>
      </c>
      <c r="P47" s="5">
        <f>IF(D47="","",COUNTIFS($D$5:$D$250,D47,$I$5:$I$250,I47,$G$5:$G$250,G47))</f>
        <v/>
      </c>
      <c r="Q47" s="5">
        <f>IF(P47="","",IF(P47&gt;=3,"REPEAT ≥3",IF(P47=2,"REPEAT","Unique")))</f>
        <v/>
      </c>
      <c r="R47" s="7" t="n"/>
      <c r="S47" s="7" t="n"/>
      <c r="T47" s="5">
        <f>IF(E47="","",IF(E47="Critical",25,IF(E47="High",16,IF(E47="Medium",9,4))))</f>
        <v/>
      </c>
    </row>
    <row r="48">
      <c r="B48" s="7" t="n"/>
      <c r="C48" s="42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42" t="n"/>
      <c r="N48" s="42" t="n"/>
      <c r="O48" s="5">
        <f>IF(C48="","",IF(OR(F48="Closed",F48=""),0,IF(N48&lt;&gt;"",MAX(0,N48-M48),MAX(0,TODAY()-IF(M48="",C48+IF(E48="Critical",Admin!$C$11,Admin!$C$10),M48)))))</f>
        <v/>
      </c>
      <c r="P48" s="5">
        <f>IF(D48="","",COUNTIFS($D$5:$D$250,D48,$I$5:$I$250,I48,$G$5:$G$250,G48))</f>
        <v/>
      </c>
      <c r="Q48" s="5">
        <f>IF(P48="","",IF(P48&gt;=3,"REPEAT ≥3",IF(P48=2,"REPEAT","Unique")))</f>
        <v/>
      </c>
      <c r="R48" s="7" t="n"/>
      <c r="S48" s="7" t="n"/>
      <c r="T48" s="5">
        <f>IF(E48="","",IF(E48="Critical",25,IF(E48="High",16,IF(E48="Medium",9,4))))</f>
        <v/>
      </c>
    </row>
    <row r="49">
      <c r="B49" s="7" t="n"/>
      <c r="C49" s="42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42" t="n"/>
      <c r="N49" s="42" t="n"/>
      <c r="O49" s="5">
        <f>IF(C49="","",IF(OR(F49="Closed",F49=""),0,IF(N49&lt;&gt;"",MAX(0,N49-M49),MAX(0,TODAY()-IF(M49="",C49+IF(E49="Critical",Admin!$C$11,Admin!$C$10),M49)))))</f>
        <v/>
      </c>
      <c r="P49" s="5">
        <f>IF(D49="","",COUNTIFS($D$5:$D$250,D49,$I$5:$I$250,I49,$G$5:$G$250,G49))</f>
        <v/>
      </c>
      <c r="Q49" s="5">
        <f>IF(P49="","",IF(P49&gt;=3,"REPEAT ≥3",IF(P49=2,"REPEAT","Unique")))</f>
        <v/>
      </c>
      <c r="R49" s="7" t="n"/>
      <c r="S49" s="7" t="n"/>
      <c r="T49" s="5">
        <f>IF(E49="","",IF(E49="Critical",25,IF(E49="High",16,IF(E49="Medium",9,4))))</f>
        <v/>
      </c>
    </row>
    <row r="50">
      <c r="B50" s="7" t="n"/>
      <c r="C50" s="42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42" t="n"/>
      <c r="N50" s="42" t="n"/>
      <c r="O50" s="5">
        <f>IF(C50="","",IF(OR(F50="Closed",F50=""),0,IF(N50&lt;&gt;"",MAX(0,N50-M50),MAX(0,TODAY()-IF(M50="",C50+IF(E50="Critical",Admin!$C$11,Admin!$C$10),M50)))))</f>
        <v/>
      </c>
      <c r="P50" s="5">
        <f>IF(D50="","",COUNTIFS($D$5:$D$250,D50,$I$5:$I$250,I50,$G$5:$G$250,G50))</f>
        <v/>
      </c>
      <c r="Q50" s="5">
        <f>IF(P50="","",IF(P50&gt;=3,"REPEAT ≥3",IF(P50=2,"REPEAT","Unique")))</f>
        <v/>
      </c>
      <c r="R50" s="7" t="n"/>
      <c r="S50" s="7" t="n"/>
      <c r="T50" s="5">
        <f>IF(E50="","",IF(E50="Critical",25,IF(E50="High",16,IF(E50="Medium",9,4))))</f>
        <v/>
      </c>
    </row>
    <row r="51">
      <c r="B51" s="7" t="n"/>
      <c r="C51" s="42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42" t="n"/>
      <c r="N51" s="42" t="n"/>
      <c r="O51" s="5">
        <f>IF(C51="","",IF(OR(F51="Closed",F51=""),0,IF(N51&lt;&gt;"",MAX(0,N51-M51),MAX(0,TODAY()-IF(M51="",C51+IF(E51="Critical",Admin!$C$11,Admin!$C$10),M51)))))</f>
        <v/>
      </c>
      <c r="P51" s="5">
        <f>IF(D51="","",COUNTIFS($D$5:$D$250,D51,$I$5:$I$250,I51,$G$5:$G$250,G51))</f>
        <v/>
      </c>
      <c r="Q51" s="5">
        <f>IF(P51="","",IF(P51&gt;=3,"REPEAT ≥3",IF(P51=2,"REPEAT","Unique")))</f>
        <v/>
      </c>
      <c r="R51" s="7" t="n"/>
      <c r="S51" s="7" t="n"/>
      <c r="T51" s="5">
        <f>IF(E51="","",IF(E51="Critical",25,IF(E51="High",16,IF(E51="Medium",9,4))))</f>
        <v/>
      </c>
    </row>
    <row r="52">
      <c r="B52" s="7" t="n"/>
      <c r="C52" s="42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42" t="n"/>
      <c r="N52" s="42" t="n"/>
      <c r="O52" s="5">
        <f>IF(C52="","",IF(OR(F52="Closed",F52=""),0,IF(N52&lt;&gt;"",MAX(0,N52-M52),MAX(0,TODAY()-IF(M52="",C52+IF(E52="Critical",Admin!$C$11,Admin!$C$10),M52)))))</f>
        <v/>
      </c>
      <c r="P52" s="5">
        <f>IF(D52="","",COUNTIFS($D$5:$D$250,D52,$I$5:$I$250,I52,$G$5:$G$250,G52))</f>
        <v/>
      </c>
      <c r="Q52" s="5">
        <f>IF(P52="","",IF(P52&gt;=3,"REPEAT ≥3",IF(P52=2,"REPEAT","Unique")))</f>
        <v/>
      </c>
      <c r="R52" s="7" t="n"/>
      <c r="S52" s="7" t="n"/>
      <c r="T52" s="5">
        <f>IF(E52="","",IF(E52="Critical",25,IF(E52="High",16,IF(E52="Medium",9,4))))</f>
        <v/>
      </c>
    </row>
    <row r="53">
      <c r="B53" s="7" t="n"/>
      <c r="C53" s="42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42" t="n"/>
      <c r="N53" s="42" t="n"/>
      <c r="O53" s="5">
        <f>IF(C53="","",IF(OR(F53="Closed",F53=""),0,IF(N53&lt;&gt;"",MAX(0,N53-M53),MAX(0,TODAY()-IF(M53="",C53+IF(E53="Critical",Admin!$C$11,Admin!$C$10),M53)))))</f>
        <v/>
      </c>
      <c r="P53" s="5">
        <f>IF(D53="","",COUNTIFS($D$5:$D$250,D53,$I$5:$I$250,I53,$G$5:$G$250,G53))</f>
        <v/>
      </c>
      <c r="Q53" s="5">
        <f>IF(P53="","",IF(P53&gt;=3,"REPEAT ≥3",IF(P53=2,"REPEAT","Unique")))</f>
        <v/>
      </c>
      <c r="R53" s="7" t="n"/>
      <c r="S53" s="7" t="n"/>
      <c r="T53" s="5">
        <f>IF(E53="","",IF(E53="Critical",25,IF(E53="High",16,IF(E53="Medium",9,4))))</f>
        <v/>
      </c>
    </row>
    <row r="54">
      <c r="B54" s="7" t="n"/>
      <c r="C54" s="42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42" t="n"/>
      <c r="N54" s="42" t="n"/>
      <c r="O54" s="5">
        <f>IF(C54="","",IF(OR(F54="Closed",F54=""),0,IF(N54&lt;&gt;"",MAX(0,N54-M54),MAX(0,TODAY()-IF(M54="",C54+IF(E54="Critical",Admin!$C$11,Admin!$C$10),M54)))))</f>
        <v/>
      </c>
      <c r="P54" s="5">
        <f>IF(D54="","",COUNTIFS($D$5:$D$250,D54,$I$5:$I$250,I54,$G$5:$G$250,G54))</f>
        <v/>
      </c>
      <c r="Q54" s="5">
        <f>IF(P54="","",IF(P54&gt;=3,"REPEAT ≥3",IF(P54=2,"REPEAT","Unique")))</f>
        <v/>
      </c>
      <c r="R54" s="7" t="n"/>
      <c r="S54" s="7" t="n"/>
      <c r="T54" s="5">
        <f>IF(E54="","",IF(E54="Critical",25,IF(E54="High",16,IF(E54="Medium",9,4))))</f>
        <v/>
      </c>
    </row>
    <row r="55">
      <c r="B55" s="7" t="n"/>
      <c r="C55" s="42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42" t="n"/>
      <c r="N55" s="42" t="n"/>
      <c r="O55" s="5">
        <f>IF(C55="","",IF(OR(F55="Closed",F55=""),0,IF(N55&lt;&gt;"",MAX(0,N55-M55),MAX(0,TODAY()-IF(M55="",C55+IF(E55="Critical",Admin!$C$11,Admin!$C$10),M55)))))</f>
        <v/>
      </c>
      <c r="P55" s="5">
        <f>IF(D55="","",COUNTIFS($D$5:$D$250,D55,$I$5:$I$250,I55,$G$5:$G$250,G55))</f>
        <v/>
      </c>
      <c r="Q55" s="5">
        <f>IF(P55="","",IF(P55&gt;=3,"REPEAT ≥3",IF(P55=2,"REPEAT","Unique")))</f>
        <v/>
      </c>
      <c r="R55" s="7" t="n"/>
      <c r="S55" s="7" t="n"/>
      <c r="T55" s="5">
        <f>IF(E55="","",IF(E55="Critical",25,IF(E55="High",16,IF(E55="Medium",9,4))))</f>
        <v/>
      </c>
    </row>
    <row r="56">
      <c r="B56" s="7" t="n"/>
      <c r="C56" s="42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42" t="n"/>
      <c r="N56" s="42" t="n"/>
      <c r="O56" s="5">
        <f>IF(C56="","",IF(OR(F56="Closed",F56=""),0,IF(N56&lt;&gt;"",MAX(0,N56-M56),MAX(0,TODAY()-IF(M56="",C56+IF(E56="Critical",Admin!$C$11,Admin!$C$10),M56)))))</f>
        <v/>
      </c>
      <c r="P56" s="5">
        <f>IF(D56="","",COUNTIFS($D$5:$D$250,D56,$I$5:$I$250,I56,$G$5:$G$250,G56))</f>
        <v/>
      </c>
      <c r="Q56" s="5">
        <f>IF(P56="","",IF(P56&gt;=3,"REPEAT ≥3",IF(P56=2,"REPEAT","Unique")))</f>
        <v/>
      </c>
      <c r="R56" s="7" t="n"/>
      <c r="S56" s="7" t="n"/>
      <c r="T56" s="5">
        <f>IF(E56="","",IF(E56="Critical",25,IF(E56="High",16,IF(E56="Medium",9,4))))</f>
        <v/>
      </c>
    </row>
    <row r="57">
      <c r="B57" s="7" t="n"/>
      <c r="C57" s="42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42" t="n"/>
      <c r="N57" s="42" t="n"/>
      <c r="O57" s="5">
        <f>IF(C57="","",IF(OR(F57="Closed",F57=""),0,IF(N57&lt;&gt;"",MAX(0,N57-M57),MAX(0,TODAY()-IF(M57="",C57+IF(E57="Critical",Admin!$C$11,Admin!$C$10),M57)))))</f>
        <v/>
      </c>
      <c r="P57" s="5">
        <f>IF(D57="","",COUNTIFS($D$5:$D$250,D57,$I$5:$I$250,I57,$G$5:$G$250,G57))</f>
        <v/>
      </c>
      <c r="Q57" s="5">
        <f>IF(P57="","",IF(P57&gt;=3,"REPEAT ≥3",IF(P57=2,"REPEAT","Unique")))</f>
        <v/>
      </c>
      <c r="R57" s="7" t="n"/>
      <c r="S57" s="7" t="n"/>
      <c r="T57" s="5">
        <f>IF(E57="","",IF(E57="Critical",25,IF(E57="High",16,IF(E57="Medium",9,4))))</f>
        <v/>
      </c>
    </row>
    <row r="58">
      <c r="B58" s="7" t="n"/>
      <c r="C58" s="42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42" t="n"/>
      <c r="N58" s="42" t="n"/>
      <c r="O58" s="5">
        <f>IF(C58="","",IF(OR(F58="Closed",F58=""),0,IF(N58&lt;&gt;"",MAX(0,N58-M58),MAX(0,TODAY()-IF(M58="",C58+IF(E58="Critical",Admin!$C$11,Admin!$C$10),M58)))))</f>
        <v/>
      </c>
      <c r="P58" s="5">
        <f>IF(D58="","",COUNTIFS($D$5:$D$250,D58,$I$5:$I$250,I58,$G$5:$G$250,G58))</f>
        <v/>
      </c>
      <c r="Q58" s="5">
        <f>IF(P58="","",IF(P58&gt;=3,"REPEAT ≥3",IF(P58=2,"REPEAT","Unique")))</f>
        <v/>
      </c>
      <c r="R58" s="7" t="n"/>
      <c r="S58" s="7" t="n"/>
      <c r="T58" s="5">
        <f>IF(E58="","",IF(E58="Critical",25,IF(E58="High",16,IF(E58="Medium",9,4))))</f>
        <v/>
      </c>
    </row>
    <row r="59">
      <c r="B59" s="7" t="n"/>
      <c r="C59" s="42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42" t="n"/>
      <c r="N59" s="42" t="n"/>
      <c r="O59" s="5">
        <f>IF(C59="","",IF(OR(F59="Closed",F59=""),0,IF(N59&lt;&gt;"",MAX(0,N59-M59),MAX(0,TODAY()-IF(M59="",C59+IF(E59="Critical",Admin!$C$11,Admin!$C$10),M59)))))</f>
        <v/>
      </c>
      <c r="P59" s="5">
        <f>IF(D59="","",COUNTIFS($D$5:$D$250,D59,$I$5:$I$250,I59,$G$5:$G$250,G59))</f>
        <v/>
      </c>
      <c r="Q59" s="5">
        <f>IF(P59="","",IF(P59&gt;=3,"REPEAT ≥3",IF(P59=2,"REPEAT","Unique")))</f>
        <v/>
      </c>
      <c r="R59" s="7" t="n"/>
      <c r="S59" s="7" t="n"/>
      <c r="T59" s="5">
        <f>IF(E59="","",IF(E59="Critical",25,IF(E59="High",16,IF(E59="Medium",9,4))))</f>
        <v/>
      </c>
    </row>
    <row r="60">
      <c r="B60" s="7" t="n"/>
      <c r="C60" s="42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42" t="n"/>
      <c r="N60" s="42" t="n"/>
      <c r="O60" s="5">
        <f>IF(C60="","",IF(OR(F60="Closed",F60=""),0,IF(N60&lt;&gt;"",MAX(0,N60-M60),MAX(0,TODAY()-IF(M60="",C60+IF(E60="Critical",Admin!$C$11,Admin!$C$10),M60)))))</f>
        <v/>
      </c>
      <c r="P60" s="5">
        <f>IF(D60="","",COUNTIFS($D$5:$D$250,D60,$I$5:$I$250,I60,$G$5:$G$250,G60))</f>
        <v/>
      </c>
      <c r="Q60" s="5">
        <f>IF(P60="","",IF(P60&gt;=3,"REPEAT ≥3",IF(P60=2,"REPEAT","Unique")))</f>
        <v/>
      </c>
      <c r="R60" s="7" t="n"/>
      <c r="S60" s="7" t="n"/>
      <c r="T60" s="5">
        <f>IF(E60="","",IF(E60="Critical",25,IF(E60="High",16,IF(E60="Medium",9,4))))</f>
        <v/>
      </c>
    </row>
    <row r="61">
      <c r="B61" s="7" t="n"/>
      <c r="C61" s="42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42" t="n"/>
      <c r="N61" s="42" t="n"/>
      <c r="O61" s="5">
        <f>IF(C61="","",IF(OR(F61="Closed",F61=""),0,IF(N61&lt;&gt;"",MAX(0,N61-M61),MAX(0,TODAY()-IF(M61="",C61+IF(E61="Critical",Admin!$C$11,Admin!$C$10),M61)))))</f>
        <v/>
      </c>
      <c r="P61" s="5">
        <f>IF(D61="","",COUNTIFS($D$5:$D$250,D61,$I$5:$I$250,I61,$G$5:$G$250,G61))</f>
        <v/>
      </c>
      <c r="Q61" s="5">
        <f>IF(P61="","",IF(P61&gt;=3,"REPEAT ≥3",IF(P61=2,"REPEAT","Unique")))</f>
        <v/>
      </c>
      <c r="R61" s="7" t="n"/>
      <c r="S61" s="7" t="n"/>
      <c r="T61" s="5">
        <f>IF(E61="","",IF(E61="Critical",25,IF(E61="High",16,IF(E61="Medium",9,4))))</f>
        <v/>
      </c>
    </row>
    <row r="62">
      <c r="B62" s="7" t="n"/>
      <c r="C62" s="42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42" t="n"/>
      <c r="N62" s="42" t="n"/>
      <c r="O62" s="5">
        <f>IF(C62="","",IF(OR(F62="Closed",F62=""),0,IF(N62&lt;&gt;"",MAX(0,N62-M62),MAX(0,TODAY()-IF(M62="",C62+IF(E62="Critical",Admin!$C$11,Admin!$C$10),M62)))))</f>
        <v/>
      </c>
      <c r="P62" s="5">
        <f>IF(D62="","",COUNTIFS($D$5:$D$250,D62,$I$5:$I$250,I62,$G$5:$G$250,G62))</f>
        <v/>
      </c>
      <c r="Q62" s="5">
        <f>IF(P62="","",IF(P62&gt;=3,"REPEAT ≥3",IF(P62=2,"REPEAT","Unique")))</f>
        <v/>
      </c>
      <c r="R62" s="7" t="n"/>
      <c r="S62" s="7" t="n"/>
      <c r="T62" s="5">
        <f>IF(E62="","",IF(E62="Critical",25,IF(E62="High",16,IF(E62="Medium",9,4))))</f>
        <v/>
      </c>
    </row>
    <row r="63">
      <c r="B63" s="7" t="n"/>
      <c r="C63" s="42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42" t="n"/>
      <c r="N63" s="42" t="n"/>
      <c r="O63" s="5">
        <f>IF(C63="","",IF(OR(F63="Closed",F63=""),0,IF(N63&lt;&gt;"",MAX(0,N63-M63),MAX(0,TODAY()-IF(M63="",C63+IF(E63="Critical",Admin!$C$11,Admin!$C$10),M63)))))</f>
        <v/>
      </c>
      <c r="P63" s="5">
        <f>IF(D63="","",COUNTIFS($D$5:$D$250,D63,$I$5:$I$250,I63,$G$5:$G$250,G63))</f>
        <v/>
      </c>
      <c r="Q63" s="5">
        <f>IF(P63="","",IF(P63&gt;=3,"REPEAT ≥3",IF(P63=2,"REPEAT","Unique")))</f>
        <v/>
      </c>
      <c r="R63" s="7" t="n"/>
      <c r="S63" s="7" t="n"/>
      <c r="T63" s="5">
        <f>IF(E63="","",IF(E63="Critical",25,IF(E63="High",16,IF(E63="Medium",9,4))))</f>
        <v/>
      </c>
    </row>
    <row r="64">
      <c r="B64" s="7" t="n"/>
      <c r="C64" s="42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42" t="n"/>
      <c r="N64" s="42" t="n"/>
      <c r="O64" s="5">
        <f>IF(C64="","",IF(OR(F64="Closed",F64=""),0,IF(N64&lt;&gt;"",MAX(0,N64-M64),MAX(0,TODAY()-IF(M64="",C64+IF(E64="Critical",Admin!$C$11,Admin!$C$10),M64)))))</f>
        <v/>
      </c>
      <c r="P64" s="5">
        <f>IF(D64="","",COUNTIFS($D$5:$D$250,D64,$I$5:$I$250,I64,$G$5:$G$250,G64))</f>
        <v/>
      </c>
      <c r="Q64" s="5">
        <f>IF(P64="","",IF(P64&gt;=3,"REPEAT ≥3",IF(P64=2,"REPEAT","Unique")))</f>
        <v/>
      </c>
      <c r="R64" s="7" t="n"/>
      <c r="S64" s="7" t="n"/>
      <c r="T64" s="5">
        <f>IF(E64="","",IF(E64="Critical",25,IF(E64="High",16,IF(E64="Medium",9,4))))</f>
        <v/>
      </c>
    </row>
    <row r="65">
      <c r="B65" s="7" t="n"/>
      <c r="C65" s="42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42" t="n"/>
      <c r="N65" s="42" t="n"/>
      <c r="O65" s="5">
        <f>IF(C65="","",IF(OR(F65="Closed",F65=""),0,IF(N65&lt;&gt;"",MAX(0,N65-M65),MAX(0,TODAY()-IF(M65="",C65+IF(E65="Critical",Admin!$C$11,Admin!$C$10),M65)))))</f>
        <v/>
      </c>
      <c r="P65" s="5">
        <f>IF(D65="","",COUNTIFS($D$5:$D$250,D65,$I$5:$I$250,I65,$G$5:$G$250,G65))</f>
        <v/>
      </c>
      <c r="Q65" s="5">
        <f>IF(P65="","",IF(P65&gt;=3,"REPEAT ≥3",IF(P65=2,"REPEAT","Unique")))</f>
        <v/>
      </c>
      <c r="R65" s="7" t="n"/>
      <c r="S65" s="7" t="n"/>
      <c r="T65" s="5">
        <f>IF(E65="","",IF(E65="Critical",25,IF(E65="High",16,IF(E65="Medium",9,4))))</f>
        <v/>
      </c>
    </row>
    <row r="66">
      <c r="B66" s="7" t="n"/>
      <c r="C66" s="42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42" t="n"/>
      <c r="N66" s="42" t="n"/>
      <c r="O66" s="5">
        <f>IF(C66="","",IF(OR(F66="Closed",F66=""),0,IF(N66&lt;&gt;"",MAX(0,N66-M66),MAX(0,TODAY()-IF(M66="",C66+IF(E66="Critical",Admin!$C$11,Admin!$C$10),M66)))))</f>
        <v/>
      </c>
      <c r="P66" s="5">
        <f>IF(D66="","",COUNTIFS($D$5:$D$250,D66,$I$5:$I$250,I66,$G$5:$G$250,G66))</f>
        <v/>
      </c>
      <c r="Q66" s="5">
        <f>IF(P66="","",IF(P66&gt;=3,"REPEAT ≥3",IF(P66=2,"REPEAT","Unique")))</f>
        <v/>
      </c>
      <c r="R66" s="7" t="n"/>
      <c r="S66" s="7" t="n"/>
      <c r="T66" s="5">
        <f>IF(E66="","",IF(E66="Critical",25,IF(E66="High",16,IF(E66="Medium",9,4))))</f>
        <v/>
      </c>
    </row>
    <row r="67">
      <c r="B67" s="7" t="n"/>
      <c r="C67" s="42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42" t="n"/>
      <c r="N67" s="42" t="n"/>
      <c r="O67" s="5">
        <f>IF(C67="","",IF(OR(F67="Closed",F67=""),0,IF(N67&lt;&gt;"",MAX(0,N67-M67),MAX(0,TODAY()-IF(M67="",C67+IF(E67="Critical",Admin!$C$11,Admin!$C$10),M67)))))</f>
        <v/>
      </c>
      <c r="P67" s="5">
        <f>IF(D67="","",COUNTIFS($D$5:$D$250,D67,$I$5:$I$250,I67,$G$5:$G$250,G67))</f>
        <v/>
      </c>
      <c r="Q67" s="5">
        <f>IF(P67="","",IF(P67&gt;=3,"REPEAT ≥3",IF(P67=2,"REPEAT","Unique")))</f>
        <v/>
      </c>
      <c r="R67" s="7" t="n"/>
      <c r="S67" s="7" t="n"/>
      <c r="T67" s="5">
        <f>IF(E67="","",IF(E67="Critical",25,IF(E67="High",16,IF(E67="Medium",9,4))))</f>
        <v/>
      </c>
    </row>
    <row r="68">
      <c r="B68" s="7" t="n"/>
      <c r="C68" s="42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42" t="n"/>
      <c r="N68" s="42" t="n"/>
      <c r="O68" s="5">
        <f>IF(C68="","",IF(OR(F68="Closed",F68=""),0,IF(N68&lt;&gt;"",MAX(0,N68-M68),MAX(0,TODAY()-IF(M68="",C68+IF(E68="Critical",Admin!$C$11,Admin!$C$10),M68)))))</f>
        <v/>
      </c>
      <c r="P68" s="5">
        <f>IF(D68="","",COUNTIFS($D$5:$D$250,D68,$I$5:$I$250,I68,$G$5:$G$250,G68))</f>
        <v/>
      </c>
      <c r="Q68" s="5">
        <f>IF(P68="","",IF(P68&gt;=3,"REPEAT ≥3",IF(P68=2,"REPEAT","Unique")))</f>
        <v/>
      </c>
      <c r="R68" s="7" t="n"/>
      <c r="S68" s="7" t="n"/>
      <c r="T68" s="5">
        <f>IF(E68="","",IF(E68="Critical",25,IF(E68="High",16,IF(E68="Medium",9,4))))</f>
        <v/>
      </c>
    </row>
    <row r="69">
      <c r="B69" s="7" t="n"/>
      <c r="C69" s="42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42" t="n"/>
      <c r="N69" s="42" t="n"/>
      <c r="O69" s="5">
        <f>IF(C69="","",IF(OR(F69="Closed",F69=""),0,IF(N69&lt;&gt;"",MAX(0,N69-M69),MAX(0,TODAY()-IF(M69="",C69+IF(E69="Critical",Admin!$C$11,Admin!$C$10),M69)))))</f>
        <v/>
      </c>
      <c r="P69" s="5">
        <f>IF(D69="","",COUNTIFS($D$5:$D$250,D69,$I$5:$I$250,I69,$G$5:$G$250,G69))</f>
        <v/>
      </c>
      <c r="Q69" s="5">
        <f>IF(P69="","",IF(P69&gt;=3,"REPEAT ≥3",IF(P69=2,"REPEAT","Unique")))</f>
        <v/>
      </c>
      <c r="R69" s="7" t="n"/>
      <c r="S69" s="7" t="n"/>
      <c r="T69" s="5">
        <f>IF(E69="","",IF(E69="Critical",25,IF(E69="High",16,IF(E69="Medium",9,4))))</f>
        <v/>
      </c>
    </row>
    <row r="70">
      <c r="B70" s="7" t="n"/>
      <c r="C70" s="42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42" t="n"/>
      <c r="N70" s="42" t="n"/>
      <c r="O70" s="5">
        <f>IF(C70="","",IF(OR(F70="Closed",F70=""),0,IF(N70&lt;&gt;"",MAX(0,N70-M70),MAX(0,TODAY()-IF(M70="",C70+IF(E70="Critical",Admin!$C$11,Admin!$C$10),M70)))))</f>
        <v/>
      </c>
      <c r="P70" s="5">
        <f>IF(D70="","",COUNTIFS($D$5:$D$250,D70,$I$5:$I$250,I70,$G$5:$G$250,G70))</f>
        <v/>
      </c>
      <c r="Q70" s="5">
        <f>IF(P70="","",IF(P70&gt;=3,"REPEAT ≥3",IF(P70=2,"REPEAT","Unique")))</f>
        <v/>
      </c>
      <c r="R70" s="7" t="n"/>
      <c r="S70" s="7" t="n"/>
      <c r="T70" s="5">
        <f>IF(E70="","",IF(E70="Critical",25,IF(E70="High",16,IF(E70="Medium",9,4))))</f>
        <v/>
      </c>
    </row>
    <row r="71">
      <c r="B71" s="7" t="n"/>
      <c r="C71" s="42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42" t="n"/>
      <c r="N71" s="42" t="n"/>
      <c r="O71" s="5">
        <f>IF(C71="","",IF(OR(F71="Closed",F71=""),0,IF(N71&lt;&gt;"",MAX(0,N71-M71),MAX(0,TODAY()-IF(M71="",C71+IF(E71="Critical",Admin!$C$11,Admin!$C$10),M71)))))</f>
        <v/>
      </c>
      <c r="P71" s="5">
        <f>IF(D71="","",COUNTIFS($D$5:$D$250,D71,$I$5:$I$250,I71,$G$5:$G$250,G71))</f>
        <v/>
      </c>
      <c r="Q71" s="5">
        <f>IF(P71="","",IF(P71&gt;=3,"REPEAT ≥3",IF(P71=2,"REPEAT","Unique")))</f>
        <v/>
      </c>
      <c r="R71" s="7" t="n"/>
      <c r="S71" s="7" t="n"/>
      <c r="T71" s="5">
        <f>IF(E71="","",IF(E71="Critical",25,IF(E71="High",16,IF(E71="Medium",9,4))))</f>
        <v/>
      </c>
    </row>
    <row r="72">
      <c r="B72" s="7" t="n"/>
      <c r="C72" s="42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42" t="n"/>
      <c r="N72" s="42" t="n"/>
      <c r="O72" s="5">
        <f>IF(C72="","",IF(OR(F72="Closed",F72=""),0,IF(N72&lt;&gt;"",MAX(0,N72-M72),MAX(0,TODAY()-IF(M72="",C72+IF(E72="Critical",Admin!$C$11,Admin!$C$10),M72)))))</f>
        <v/>
      </c>
      <c r="P72" s="5">
        <f>IF(D72="","",COUNTIFS($D$5:$D$250,D72,$I$5:$I$250,I72,$G$5:$G$250,G72))</f>
        <v/>
      </c>
      <c r="Q72" s="5">
        <f>IF(P72="","",IF(P72&gt;=3,"REPEAT ≥3",IF(P72=2,"REPEAT","Unique")))</f>
        <v/>
      </c>
      <c r="R72" s="7" t="n"/>
      <c r="S72" s="7" t="n"/>
      <c r="T72" s="5">
        <f>IF(E72="","",IF(E72="Critical",25,IF(E72="High",16,IF(E72="Medium",9,4))))</f>
        <v/>
      </c>
    </row>
    <row r="73">
      <c r="B73" s="7" t="n"/>
      <c r="C73" s="42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42" t="n"/>
      <c r="N73" s="42" t="n"/>
      <c r="O73" s="5">
        <f>IF(C73="","",IF(OR(F73="Closed",F73=""),0,IF(N73&lt;&gt;"",MAX(0,N73-M73),MAX(0,TODAY()-IF(M73="",C73+IF(E73="Critical",Admin!$C$11,Admin!$C$10),M73)))))</f>
        <v/>
      </c>
      <c r="P73" s="5">
        <f>IF(D73="","",COUNTIFS($D$5:$D$250,D73,$I$5:$I$250,I73,$G$5:$G$250,G73))</f>
        <v/>
      </c>
      <c r="Q73" s="5">
        <f>IF(P73="","",IF(P73&gt;=3,"REPEAT ≥3",IF(P73=2,"REPEAT","Unique")))</f>
        <v/>
      </c>
      <c r="R73" s="7" t="n"/>
      <c r="S73" s="7" t="n"/>
      <c r="T73" s="5">
        <f>IF(E73="","",IF(E73="Critical",25,IF(E73="High",16,IF(E73="Medium",9,4))))</f>
        <v/>
      </c>
    </row>
    <row r="74">
      <c r="B74" s="7" t="n"/>
      <c r="C74" s="42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42" t="n"/>
      <c r="N74" s="42" t="n"/>
      <c r="O74" s="5">
        <f>IF(C74="","",IF(OR(F74="Closed",F74=""),0,IF(N74&lt;&gt;"",MAX(0,N74-M74),MAX(0,TODAY()-IF(M74="",C74+IF(E74="Critical",Admin!$C$11,Admin!$C$10),M74)))))</f>
        <v/>
      </c>
      <c r="P74" s="5">
        <f>IF(D74="","",COUNTIFS($D$5:$D$250,D74,$I$5:$I$250,I74,$G$5:$G$250,G74))</f>
        <v/>
      </c>
      <c r="Q74" s="5">
        <f>IF(P74="","",IF(P74&gt;=3,"REPEAT ≥3",IF(P74=2,"REPEAT","Unique")))</f>
        <v/>
      </c>
      <c r="R74" s="7" t="n"/>
      <c r="S74" s="7" t="n"/>
      <c r="T74" s="5">
        <f>IF(E74="","",IF(E74="Critical",25,IF(E74="High",16,IF(E74="Medium",9,4))))</f>
        <v/>
      </c>
    </row>
    <row r="75">
      <c r="B75" s="7" t="n"/>
      <c r="C75" s="42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42" t="n"/>
      <c r="N75" s="42" t="n"/>
      <c r="O75" s="5">
        <f>IF(C75="","",IF(OR(F75="Closed",F75=""),0,IF(N75&lt;&gt;"",MAX(0,N75-M75),MAX(0,TODAY()-IF(M75="",C75+IF(E75="Critical",Admin!$C$11,Admin!$C$10),M75)))))</f>
        <v/>
      </c>
      <c r="P75" s="5">
        <f>IF(D75="","",COUNTIFS($D$5:$D$250,D75,$I$5:$I$250,I75,$G$5:$G$250,G75))</f>
        <v/>
      </c>
      <c r="Q75" s="5">
        <f>IF(P75="","",IF(P75&gt;=3,"REPEAT ≥3",IF(P75=2,"REPEAT","Unique")))</f>
        <v/>
      </c>
      <c r="R75" s="7" t="n"/>
      <c r="S75" s="7" t="n"/>
      <c r="T75" s="5">
        <f>IF(E75="","",IF(E75="Critical",25,IF(E75="High",16,IF(E75="Medium",9,4))))</f>
        <v/>
      </c>
    </row>
    <row r="76">
      <c r="B76" s="7" t="n"/>
      <c r="C76" s="42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42" t="n"/>
      <c r="N76" s="42" t="n"/>
      <c r="O76" s="5">
        <f>IF(C76="","",IF(OR(F76="Closed",F76=""),0,IF(N76&lt;&gt;"",MAX(0,N76-M76),MAX(0,TODAY()-IF(M76="",C76+IF(E76="Critical",Admin!$C$11,Admin!$C$10),M76)))))</f>
        <v/>
      </c>
      <c r="P76" s="5">
        <f>IF(D76="","",COUNTIFS($D$5:$D$250,D76,$I$5:$I$250,I76,$G$5:$G$250,G76))</f>
        <v/>
      </c>
      <c r="Q76" s="5">
        <f>IF(P76="","",IF(P76&gt;=3,"REPEAT ≥3",IF(P76=2,"REPEAT","Unique")))</f>
        <v/>
      </c>
      <c r="R76" s="7" t="n"/>
      <c r="S76" s="7" t="n"/>
      <c r="T76" s="5">
        <f>IF(E76="","",IF(E76="Critical",25,IF(E76="High",16,IF(E76="Medium",9,4))))</f>
        <v/>
      </c>
    </row>
    <row r="77">
      <c r="B77" s="7" t="n"/>
      <c r="C77" s="42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42" t="n"/>
      <c r="N77" s="42" t="n"/>
      <c r="O77" s="5">
        <f>IF(C77="","",IF(OR(F77="Closed",F77=""),0,IF(N77&lt;&gt;"",MAX(0,N77-M77),MAX(0,TODAY()-IF(M77="",C77+IF(E77="Critical",Admin!$C$11,Admin!$C$10),M77)))))</f>
        <v/>
      </c>
      <c r="P77" s="5">
        <f>IF(D77="","",COUNTIFS($D$5:$D$250,D77,$I$5:$I$250,I77,$G$5:$G$250,G77))</f>
        <v/>
      </c>
      <c r="Q77" s="5">
        <f>IF(P77="","",IF(P77&gt;=3,"REPEAT ≥3",IF(P77=2,"REPEAT","Unique")))</f>
        <v/>
      </c>
      <c r="R77" s="7" t="n"/>
      <c r="S77" s="7" t="n"/>
      <c r="T77" s="5">
        <f>IF(E77="","",IF(E77="Critical",25,IF(E77="High",16,IF(E77="Medium",9,4))))</f>
        <v/>
      </c>
    </row>
    <row r="78">
      <c r="B78" s="7" t="n"/>
      <c r="C78" s="42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42" t="n"/>
      <c r="N78" s="42" t="n"/>
      <c r="O78" s="5">
        <f>IF(C78="","",IF(OR(F78="Closed",F78=""),0,IF(N78&lt;&gt;"",MAX(0,N78-M78),MAX(0,TODAY()-IF(M78="",C78+IF(E78="Critical",Admin!$C$11,Admin!$C$10),M78)))))</f>
        <v/>
      </c>
      <c r="P78" s="5">
        <f>IF(D78="","",COUNTIFS($D$5:$D$250,D78,$I$5:$I$250,I78,$G$5:$G$250,G78))</f>
        <v/>
      </c>
      <c r="Q78" s="5">
        <f>IF(P78="","",IF(P78&gt;=3,"REPEAT ≥3",IF(P78=2,"REPEAT","Unique")))</f>
        <v/>
      </c>
      <c r="R78" s="7" t="n"/>
      <c r="S78" s="7" t="n"/>
      <c r="T78" s="5">
        <f>IF(E78="","",IF(E78="Critical",25,IF(E78="High",16,IF(E78="Medium",9,4))))</f>
        <v/>
      </c>
    </row>
    <row r="79">
      <c r="B79" s="7" t="n"/>
      <c r="C79" s="42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42" t="n"/>
      <c r="N79" s="42" t="n"/>
      <c r="O79" s="5">
        <f>IF(C79="","",IF(OR(F79="Closed",F79=""),0,IF(N79&lt;&gt;"",MAX(0,N79-M79),MAX(0,TODAY()-IF(M79="",C79+IF(E79="Critical",Admin!$C$11,Admin!$C$10),M79)))))</f>
        <v/>
      </c>
      <c r="P79" s="5">
        <f>IF(D79="","",COUNTIFS($D$5:$D$250,D79,$I$5:$I$250,I79,$G$5:$G$250,G79))</f>
        <v/>
      </c>
      <c r="Q79" s="5">
        <f>IF(P79="","",IF(P79&gt;=3,"REPEAT ≥3",IF(P79=2,"REPEAT","Unique")))</f>
        <v/>
      </c>
      <c r="R79" s="7" t="n"/>
      <c r="S79" s="7" t="n"/>
      <c r="T79" s="5">
        <f>IF(E79="","",IF(E79="Critical",25,IF(E79="High",16,IF(E79="Medium",9,4))))</f>
        <v/>
      </c>
    </row>
    <row r="80">
      <c r="B80" s="7" t="n"/>
      <c r="C80" s="42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42" t="n"/>
      <c r="N80" s="42" t="n"/>
      <c r="O80" s="5">
        <f>IF(C80="","",IF(OR(F80="Closed",F80=""),0,IF(N80&lt;&gt;"",MAX(0,N80-M80),MAX(0,TODAY()-IF(M80="",C80+IF(E80="Critical",Admin!$C$11,Admin!$C$10),M80)))))</f>
        <v/>
      </c>
      <c r="P80" s="5">
        <f>IF(D80="","",COUNTIFS($D$5:$D$250,D80,$I$5:$I$250,I80,$G$5:$G$250,G80))</f>
        <v/>
      </c>
      <c r="Q80" s="5">
        <f>IF(P80="","",IF(P80&gt;=3,"REPEAT ≥3",IF(P80=2,"REPEAT","Unique")))</f>
        <v/>
      </c>
      <c r="R80" s="7" t="n"/>
      <c r="S80" s="7" t="n"/>
      <c r="T80" s="5">
        <f>IF(E80="","",IF(E80="Critical",25,IF(E80="High",16,IF(E80="Medium",9,4))))</f>
        <v/>
      </c>
    </row>
    <row r="81">
      <c r="B81" s="7" t="n"/>
      <c r="C81" s="42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42" t="n"/>
      <c r="N81" s="42" t="n"/>
      <c r="O81" s="5">
        <f>IF(C81="","",IF(OR(F81="Closed",F81=""),0,IF(N81&lt;&gt;"",MAX(0,N81-M81),MAX(0,TODAY()-IF(M81="",C81+IF(E81="Critical",Admin!$C$11,Admin!$C$10),M81)))))</f>
        <v/>
      </c>
      <c r="P81" s="5">
        <f>IF(D81="","",COUNTIFS($D$5:$D$250,D81,$I$5:$I$250,I81,$G$5:$G$250,G81))</f>
        <v/>
      </c>
      <c r="Q81" s="5">
        <f>IF(P81="","",IF(P81&gt;=3,"REPEAT ≥3",IF(P81=2,"REPEAT","Unique")))</f>
        <v/>
      </c>
      <c r="R81" s="7" t="n"/>
      <c r="S81" s="7" t="n"/>
      <c r="T81" s="5">
        <f>IF(E81="","",IF(E81="Critical",25,IF(E81="High",16,IF(E81="Medium",9,4))))</f>
        <v/>
      </c>
    </row>
    <row r="82">
      <c r="B82" s="7" t="n"/>
      <c r="C82" s="42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42" t="n"/>
      <c r="N82" s="42" t="n"/>
      <c r="O82" s="5">
        <f>IF(C82="","",IF(OR(F82="Closed",F82=""),0,IF(N82&lt;&gt;"",MAX(0,N82-M82),MAX(0,TODAY()-IF(M82="",C82+IF(E82="Critical",Admin!$C$11,Admin!$C$10),M82)))))</f>
        <v/>
      </c>
      <c r="P82" s="5">
        <f>IF(D82="","",COUNTIFS($D$5:$D$250,D82,$I$5:$I$250,I82,$G$5:$G$250,G82))</f>
        <v/>
      </c>
      <c r="Q82" s="5">
        <f>IF(P82="","",IF(P82&gt;=3,"REPEAT ≥3",IF(P82=2,"REPEAT","Unique")))</f>
        <v/>
      </c>
      <c r="R82" s="7" t="n"/>
      <c r="S82" s="7" t="n"/>
      <c r="T82" s="5">
        <f>IF(E82="","",IF(E82="Critical",25,IF(E82="High",16,IF(E82="Medium",9,4))))</f>
        <v/>
      </c>
    </row>
    <row r="83">
      <c r="B83" s="7" t="n"/>
      <c r="C83" s="42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42" t="n"/>
      <c r="N83" s="42" t="n"/>
      <c r="O83" s="5">
        <f>IF(C83="","",IF(OR(F83="Closed",F83=""),0,IF(N83&lt;&gt;"",MAX(0,N83-M83),MAX(0,TODAY()-IF(M83="",C83+IF(E83="Critical",Admin!$C$11,Admin!$C$10),M83)))))</f>
        <v/>
      </c>
      <c r="P83" s="5">
        <f>IF(D83="","",COUNTIFS($D$5:$D$250,D83,$I$5:$I$250,I83,$G$5:$G$250,G83))</f>
        <v/>
      </c>
      <c r="Q83" s="5">
        <f>IF(P83="","",IF(P83&gt;=3,"REPEAT ≥3",IF(P83=2,"REPEAT","Unique")))</f>
        <v/>
      </c>
      <c r="R83" s="7" t="n"/>
      <c r="S83" s="7" t="n"/>
      <c r="T83" s="5">
        <f>IF(E83="","",IF(E83="Critical",25,IF(E83="High",16,IF(E83="Medium",9,4))))</f>
        <v/>
      </c>
    </row>
    <row r="84">
      <c r="B84" s="7" t="n"/>
      <c r="C84" s="42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42" t="n"/>
      <c r="N84" s="42" t="n"/>
      <c r="O84" s="5">
        <f>IF(C84="","",IF(OR(F84="Closed",F84=""),0,IF(N84&lt;&gt;"",MAX(0,N84-M84),MAX(0,TODAY()-IF(M84="",C84+IF(E84="Critical",Admin!$C$11,Admin!$C$10),M84)))))</f>
        <v/>
      </c>
      <c r="P84" s="5">
        <f>IF(D84="","",COUNTIFS($D$5:$D$250,D84,$I$5:$I$250,I84,$G$5:$G$250,G84))</f>
        <v/>
      </c>
      <c r="Q84" s="5">
        <f>IF(P84="","",IF(P84&gt;=3,"REPEAT ≥3",IF(P84=2,"REPEAT","Unique")))</f>
        <v/>
      </c>
      <c r="R84" s="7" t="n"/>
      <c r="S84" s="7" t="n"/>
      <c r="T84" s="5">
        <f>IF(E84="","",IF(E84="Critical",25,IF(E84="High",16,IF(E84="Medium",9,4))))</f>
        <v/>
      </c>
    </row>
    <row r="85">
      <c r="B85" s="7" t="n"/>
      <c r="C85" s="42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42" t="n"/>
      <c r="N85" s="42" t="n"/>
      <c r="O85" s="5">
        <f>IF(C85="","",IF(OR(F85="Closed",F85=""),0,IF(N85&lt;&gt;"",MAX(0,N85-M85),MAX(0,TODAY()-IF(M85="",C85+IF(E85="Critical",Admin!$C$11,Admin!$C$10),M85)))))</f>
        <v/>
      </c>
      <c r="P85" s="5">
        <f>IF(D85="","",COUNTIFS($D$5:$D$250,D85,$I$5:$I$250,I85,$G$5:$G$250,G85))</f>
        <v/>
      </c>
      <c r="Q85" s="5">
        <f>IF(P85="","",IF(P85&gt;=3,"REPEAT ≥3",IF(P85=2,"REPEAT","Unique")))</f>
        <v/>
      </c>
      <c r="R85" s="7" t="n"/>
      <c r="S85" s="7" t="n"/>
      <c r="T85" s="5">
        <f>IF(E85="","",IF(E85="Critical",25,IF(E85="High",16,IF(E85="Medium",9,4))))</f>
        <v/>
      </c>
    </row>
    <row r="86">
      <c r="B86" s="7" t="n"/>
      <c r="C86" s="42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42" t="n"/>
      <c r="N86" s="42" t="n"/>
      <c r="O86" s="5">
        <f>IF(C86="","",IF(OR(F86="Closed",F86=""),0,IF(N86&lt;&gt;"",MAX(0,N86-M86),MAX(0,TODAY()-IF(M86="",C86+IF(E86="Critical",Admin!$C$11,Admin!$C$10),M86)))))</f>
        <v/>
      </c>
      <c r="P86" s="5">
        <f>IF(D86="","",COUNTIFS($D$5:$D$250,D86,$I$5:$I$250,I86,$G$5:$G$250,G86))</f>
        <v/>
      </c>
      <c r="Q86" s="5">
        <f>IF(P86="","",IF(P86&gt;=3,"REPEAT ≥3",IF(P86=2,"REPEAT","Unique")))</f>
        <v/>
      </c>
      <c r="R86" s="7" t="n"/>
      <c r="S86" s="7" t="n"/>
      <c r="T86" s="5">
        <f>IF(E86="","",IF(E86="Critical",25,IF(E86="High",16,IF(E86="Medium",9,4))))</f>
        <v/>
      </c>
    </row>
    <row r="87">
      <c r="B87" s="7" t="n"/>
      <c r="C87" s="42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42" t="n"/>
      <c r="N87" s="42" t="n"/>
      <c r="O87" s="5">
        <f>IF(C87="","",IF(OR(F87="Closed",F87=""),0,IF(N87&lt;&gt;"",MAX(0,N87-M87),MAX(0,TODAY()-IF(M87="",C87+IF(E87="Critical",Admin!$C$11,Admin!$C$10),M87)))))</f>
        <v/>
      </c>
      <c r="P87" s="5">
        <f>IF(D87="","",COUNTIFS($D$5:$D$250,D87,$I$5:$I$250,I87,$G$5:$G$250,G87))</f>
        <v/>
      </c>
      <c r="Q87" s="5">
        <f>IF(P87="","",IF(P87&gt;=3,"REPEAT ≥3",IF(P87=2,"REPEAT","Unique")))</f>
        <v/>
      </c>
      <c r="R87" s="7" t="n"/>
      <c r="S87" s="7" t="n"/>
      <c r="T87" s="5">
        <f>IF(E87="","",IF(E87="Critical",25,IF(E87="High",16,IF(E87="Medium",9,4))))</f>
        <v/>
      </c>
    </row>
    <row r="88">
      <c r="B88" s="7" t="n"/>
      <c r="C88" s="42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42" t="n"/>
      <c r="N88" s="42" t="n"/>
      <c r="O88" s="5">
        <f>IF(C88="","",IF(OR(F88="Closed",F88=""),0,IF(N88&lt;&gt;"",MAX(0,N88-M88),MAX(0,TODAY()-IF(M88="",C88+IF(E88="Critical",Admin!$C$11,Admin!$C$10),M88)))))</f>
        <v/>
      </c>
      <c r="P88" s="5">
        <f>IF(D88="","",COUNTIFS($D$5:$D$250,D88,$I$5:$I$250,I88,$G$5:$G$250,G88))</f>
        <v/>
      </c>
      <c r="Q88" s="5">
        <f>IF(P88="","",IF(P88&gt;=3,"REPEAT ≥3",IF(P88=2,"REPEAT","Unique")))</f>
        <v/>
      </c>
      <c r="R88" s="7" t="n"/>
      <c r="S88" s="7" t="n"/>
      <c r="T88" s="5">
        <f>IF(E88="","",IF(E88="Critical",25,IF(E88="High",16,IF(E88="Medium",9,4))))</f>
        <v/>
      </c>
    </row>
    <row r="89">
      <c r="B89" s="7" t="n"/>
      <c r="C89" s="42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42" t="n"/>
      <c r="N89" s="42" t="n"/>
      <c r="O89" s="5">
        <f>IF(C89="","",IF(OR(F89="Closed",F89=""),0,IF(N89&lt;&gt;"",MAX(0,N89-M89),MAX(0,TODAY()-IF(M89="",C89+IF(E89="Critical",Admin!$C$11,Admin!$C$10),M89)))))</f>
        <v/>
      </c>
      <c r="P89" s="5">
        <f>IF(D89="","",COUNTIFS($D$5:$D$250,D89,$I$5:$I$250,I89,$G$5:$G$250,G89))</f>
        <v/>
      </c>
      <c r="Q89" s="5">
        <f>IF(P89="","",IF(P89&gt;=3,"REPEAT ≥3",IF(P89=2,"REPEAT","Unique")))</f>
        <v/>
      </c>
      <c r="R89" s="7" t="n"/>
      <c r="S89" s="7" t="n"/>
      <c r="T89" s="5">
        <f>IF(E89="","",IF(E89="Critical",25,IF(E89="High",16,IF(E89="Medium",9,4))))</f>
        <v/>
      </c>
    </row>
    <row r="90">
      <c r="B90" s="7" t="n"/>
      <c r="C90" s="42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42" t="n"/>
      <c r="N90" s="42" t="n"/>
      <c r="O90" s="5">
        <f>IF(C90="","",IF(OR(F90="Closed",F90=""),0,IF(N90&lt;&gt;"",MAX(0,N90-M90),MAX(0,TODAY()-IF(M90="",C90+IF(E90="Critical",Admin!$C$11,Admin!$C$10),M90)))))</f>
        <v/>
      </c>
      <c r="P90" s="5">
        <f>IF(D90="","",COUNTIFS($D$5:$D$250,D90,$I$5:$I$250,I90,$G$5:$G$250,G90))</f>
        <v/>
      </c>
      <c r="Q90" s="5">
        <f>IF(P90="","",IF(P90&gt;=3,"REPEAT ≥3",IF(P90=2,"REPEAT","Unique")))</f>
        <v/>
      </c>
      <c r="R90" s="7" t="n"/>
      <c r="S90" s="7" t="n"/>
      <c r="T90" s="5">
        <f>IF(E90="","",IF(E90="Critical",25,IF(E90="High",16,IF(E90="Medium",9,4))))</f>
        <v/>
      </c>
    </row>
    <row r="91">
      <c r="B91" s="7" t="n"/>
      <c r="C91" s="42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42" t="n"/>
      <c r="N91" s="42" t="n"/>
      <c r="O91" s="5">
        <f>IF(C91="","",IF(OR(F91="Closed",F91=""),0,IF(N91&lt;&gt;"",MAX(0,N91-M91),MAX(0,TODAY()-IF(M91="",C91+IF(E91="Critical",Admin!$C$11,Admin!$C$10),M91)))))</f>
        <v/>
      </c>
      <c r="P91" s="5">
        <f>IF(D91="","",COUNTIFS($D$5:$D$250,D91,$I$5:$I$250,I91,$G$5:$G$250,G91))</f>
        <v/>
      </c>
      <c r="Q91" s="5">
        <f>IF(P91="","",IF(P91&gt;=3,"REPEAT ≥3",IF(P91=2,"REPEAT","Unique")))</f>
        <v/>
      </c>
      <c r="R91" s="7" t="n"/>
      <c r="S91" s="7" t="n"/>
      <c r="T91" s="5">
        <f>IF(E91="","",IF(E91="Critical",25,IF(E91="High",16,IF(E91="Medium",9,4))))</f>
        <v/>
      </c>
    </row>
    <row r="92">
      <c r="B92" s="7" t="n"/>
      <c r="C92" s="42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42" t="n"/>
      <c r="N92" s="42" t="n"/>
      <c r="O92" s="5">
        <f>IF(C92="","",IF(OR(F92="Closed",F92=""),0,IF(N92&lt;&gt;"",MAX(0,N92-M92),MAX(0,TODAY()-IF(M92="",C92+IF(E92="Critical",Admin!$C$11,Admin!$C$10),M92)))))</f>
        <v/>
      </c>
      <c r="P92" s="5">
        <f>IF(D92="","",COUNTIFS($D$5:$D$250,D92,$I$5:$I$250,I92,$G$5:$G$250,G92))</f>
        <v/>
      </c>
      <c r="Q92" s="5">
        <f>IF(P92="","",IF(P92&gt;=3,"REPEAT ≥3",IF(P92=2,"REPEAT","Unique")))</f>
        <v/>
      </c>
      <c r="R92" s="7" t="n"/>
      <c r="S92" s="7" t="n"/>
      <c r="T92" s="5">
        <f>IF(E92="","",IF(E92="Critical",25,IF(E92="High",16,IF(E92="Medium",9,4))))</f>
        <v/>
      </c>
    </row>
    <row r="93">
      <c r="B93" s="7" t="n"/>
      <c r="C93" s="42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42" t="n"/>
      <c r="N93" s="42" t="n"/>
      <c r="O93" s="5">
        <f>IF(C93="","",IF(OR(F93="Closed",F93=""),0,IF(N93&lt;&gt;"",MAX(0,N93-M93),MAX(0,TODAY()-IF(M93="",C93+IF(E93="Critical",Admin!$C$11,Admin!$C$10),M93)))))</f>
        <v/>
      </c>
      <c r="P93" s="5">
        <f>IF(D93="","",COUNTIFS($D$5:$D$250,D93,$I$5:$I$250,I93,$G$5:$G$250,G93))</f>
        <v/>
      </c>
      <c r="Q93" s="5">
        <f>IF(P93="","",IF(P93&gt;=3,"REPEAT ≥3",IF(P93=2,"REPEAT","Unique")))</f>
        <v/>
      </c>
      <c r="R93" s="7" t="n"/>
      <c r="S93" s="7" t="n"/>
      <c r="T93" s="5">
        <f>IF(E93="","",IF(E93="Critical",25,IF(E93="High",16,IF(E93="Medium",9,4))))</f>
        <v/>
      </c>
    </row>
    <row r="94">
      <c r="B94" s="7" t="n"/>
      <c r="C94" s="42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42" t="n"/>
      <c r="N94" s="42" t="n"/>
      <c r="O94" s="5">
        <f>IF(C94="","",IF(OR(F94="Closed",F94=""),0,IF(N94&lt;&gt;"",MAX(0,N94-M94),MAX(0,TODAY()-IF(M94="",C94+IF(E94="Critical",Admin!$C$11,Admin!$C$10),M94)))))</f>
        <v/>
      </c>
      <c r="P94" s="5">
        <f>IF(D94="","",COUNTIFS($D$5:$D$250,D94,$I$5:$I$250,I94,$G$5:$G$250,G94))</f>
        <v/>
      </c>
      <c r="Q94" s="5">
        <f>IF(P94="","",IF(P94&gt;=3,"REPEAT ≥3",IF(P94=2,"REPEAT","Unique")))</f>
        <v/>
      </c>
      <c r="R94" s="7" t="n"/>
      <c r="S94" s="7" t="n"/>
      <c r="T94" s="5">
        <f>IF(E94="","",IF(E94="Critical",25,IF(E94="High",16,IF(E94="Medium",9,4))))</f>
        <v/>
      </c>
    </row>
    <row r="95">
      <c r="B95" s="7" t="n"/>
      <c r="C95" s="42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42" t="n"/>
      <c r="N95" s="42" t="n"/>
      <c r="O95" s="5">
        <f>IF(C95="","",IF(OR(F95="Closed",F95=""),0,IF(N95&lt;&gt;"",MAX(0,N95-M95),MAX(0,TODAY()-IF(M95="",C95+IF(E95="Critical",Admin!$C$11,Admin!$C$10),M95)))))</f>
        <v/>
      </c>
      <c r="P95" s="5">
        <f>IF(D95="","",COUNTIFS($D$5:$D$250,D95,$I$5:$I$250,I95,$G$5:$G$250,G95))</f>
        <v/>
      </c>
      <c r="Q95" s="5">
        <f>IF(P95="","",IF(P95&gt;=3,"REPEAT ≥3",IF(P95=2,"REPEAT","Unique")))</f>
        <v/>
      </c>
      <c r="R95" s="7" t="n"/>
      <c r="S95" s="7" t="n"/>
      <c r="T95" s="5">
        <f>IF(E95="","",IF(E95="Critical",25,IF(E95="High",16,IF(E95="Medium",9,4))))</f>
        <v/>
      </c>
    </row>
    <row r="96">
      <c r="B96" s="7" t="n"/>
      <c r="C96" s="42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42" t="n"/>
      <c r="N96" s="42" t="n"/>
      <c r="O96" s="5">
        <f>IF(C96="","",IF(OR(F96="Closed",F96=""),0,IF(N96&lt;&gt;"",MAX(0,N96-M96),MAX(0,TODAY()-IF(M96="",C96+IF(E96="Critical",Admin!$C$11,Admin!$C$10),M96)))))</f>
        <v/>
      </c>
      <c r="P96" s="5">
        <f>IF(D96="","",COUNTIFS($D$5:$D$250,D96,$I$5:$I$250,I96,$G$5:$G$250,G96))</f>
        <v/>
      </c>
      <c r="Q96" s="5">
        <f>IF(P96="","",IF(P96&gt;=3,"REPEAT ≥3",IF(P96=2,"REPEAT","Unique")))</f>
        <v/>
      </c>
      <c r="R96" s="7" t="n"/>
      <c r="S96" s="7" t="n"/>
      <c r="T96" s="5">
        <f>IF(E96="","",IF(E96="Critical",25,IF(E96="High",16,IF(E96="Medium",9,4))))</f>
        <v/>
      </c>
    </row>
    <row r="97">
      <c r="B97" s="7" t="n"/>
      <c r="C97" s="42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42" t="n"/>
      <c r="N97" s="42" t="n"/>
      <c r="O97" s="5">
        <f>IF(C97="","",IF(OR(F97="Closed",F97=""),0,IF(N97&lt;&gt;"",MAX(0,N97-M97),MAX(0,TODAY()-IF(M97="",C97+IF(E97="Critical",Admin!$C$11,Admin!$C$10),M97)))))</f>
        <v/>
      </c>
      <c r="P97" s="5">
        <f>IF(D97="","",COUNTIFS($D$5:$D$250,D97,$I$5:$I$250,I97,$G$5:$G$250,G97))</f>
        <v/>
      </c>
      <c r="Q97" s="5">
        <f>IF(P97="","",IF(P97&gt;=3,"REPEAT ≥3",IF(P97=2,"REPEAT","Unique")))</f>
        <v/>
      </c>
      <c r="R97" s="7" t="n"/>
      <c r="S97" s="7" t="n"/>
      <c r="T97" s="5">
        <f>IF(E97="","",IF(E97="Critical",25,IF(E97="High",16,IF(E97="Medium",9,4))))</f>
        <v/>
      </c>
    </row>
    <row r="98">
      <c r="B98" s="7" t="n"/>
      <c r="C98" s="42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42" t="n"/>
      <c r="N98" s="42" t="n"/>
      <c r="O98" s="5">
        <f>IF(C98="","",IF(OR(F98="Closed",F98=""),0,IF(N98&lt;&gt;"",MAX(0,N98-M98),MAX(0,TODAY()-IF(M98="",C98+IF(E98="Critical",Admin!$C$11,Admin!$C$10),M98)))))</f>
        <v/>
      </c>
      <c r="P98" s="5">
        <f>IF(D98="","",COUNTIFS($D$5:$D$250,D98,$I$5:$I$250,I98,$G$5:$G$250,G98))</f>
        <v/>
      </c>
      <c r="Q98" s="5">
        <f>IF(P98="","",IF(P98&gt;=3,"REPEAT ≥3",IF(P98=2,"REPEAT","Unique")))</f>
        <v/>
      </c>
      <c r="R98" s="7" t="n"/>
      <c r="S98" s="7" t="n"/>
      <c r="T98" s="5">
        <f>IF(E98="","",IF(E98="Critical",25,IF(E98="High",16,IF(E98="Medium",9,4))))</f>
        <v/>
      </c>
    </row>
    <row r="99">
      <c r="B99" s="7" t="n"/>
      <c r="C99" s="42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42" t="n"/>
      <c r="N99" s="42" t="n"/>
      <c r="O99" s="5">
        <f>IF(C99="","",IF(OR(F99="Closed",F99=""),0,IF(N99&lt;&gt;"",MAX(0,N99-M99),MAX(0,TODAY()-IF(M99="",C99+IF(E99="Critical",Admin!$C$11,Admin!$C$10),M99)))))</f>
        <v/>
      </c>
      <c r="P99" s="5">
        <f>IF(D99="","",COUNTIFS($D$5:$D$250,D99,$I$5:$I$250,I99,$G$5:$G$250,G99))</f>
        <v/>
      </c>
      <c r="Q99" s="5">
        <f>IF(P99="","",IF(P99&gt;=3,"REPEAT ≥3",IF(P99=2,"REPEAT","Unique")))</f>
        <v/>
      </c>
      <c r="R99" s="7" t="n"/>
      <c r="S99" s="7" t="n"/>
      <c r="T99" s="5">
        <f>IF(E99="","",IF(E99="Critical",25,IF(E99="High",16,IF(E99="Medium",9,4))))</f>
        <v/>
      </c>
    </row>
    <row r="100">
      <c r="B100" s="7" t="n"/>
      <c r="C100" s="42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42" t="n"/>
      <c r="N100" s="42" t="n"/>
      <c r="O100" s="5">
        <f>IF(C100="","",IF(OR(F100="Closed",F100=""),0,IF(N100&lt;&gt;"",MAX(0,N100-M100),MAX(0,TODAY()-IF(M100="",C100+IF(E100="Critical",Admin!$C$11,Admin!$C$10),M100)))))</f>
        <v/>
      </c>
      <c r="P100" s="5">
        <f>IF(D100="","",COUNTIFS($D$5:$D$250,D100,$I$5:$I$250,I100,$G$5:$G$250,G100))</f>
        <v/>
      </c>
      <c r="Q100" s="5">
        <f>IF(P100="","",IF(P100&gt;=3,"REPEAT ≥3",IF(P100=2,"REPEAT","Unique")))</f>
        <v/>
      </c>
      <c r="R100" s="7" t="n"/>
      <c r="S100" s="7" t="n"/>
      <c r="T100" s="5">
        <f>IF(E100="","",IF(E100="Critical",25,IF(E100="High",16,IF(E100="Medium",9,4))))</f>
        <v/>
      </c>
    </row>
    <row r="101">
      <c r="B101" s="7" t="n"/>
      <c r="C101" s="42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42" t="n"/>
      <c r="N101" s="42" t="n"/>
      <c r="O101" s="5">
        <f>IF(C101="","",IF(OR(F101="Closed",F101=""),0,IF(N101&lt;&gt;"",MAX(0,N101-M101),MAX(0,TODAY()-IF(M101="",C101+IF(E101="Critical",Admin!$C$11,Admin!$C$10),M101)))))</f>
        <v/>
      </c>
      <c r="P101" s="5">
        <f>IF(D101="","",COUNTIFS($D$5:$D$250,D101,$I$5:$I$250,I101,$G$5:$G$250,G101))</f>
        <v/>
      </c>
      <c r="Q101" s="5">
        <f>IF(P101="","",IF(P101&gt;=3,"REPEAT ≥3",IF(P101=2,"REPEAT","Unique")))</f>
        <v/>
      </c>
      <c r="R101" s="7" t="n"/>
      <c r="S101" s="7" t="n"/>
      <c r="T101" s="5">
        <f>IF(E101="","",IF(E101="Critical",25,IF(E101="High",16,IF(E101="Medium",9,4))))</f>
        <v/>
      </c>
    </row>
    <row r="102">
      <c r="B102" s="7" t="n"/>
      <c r="C102" s="42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42" t="n"/>
      <c r="N102" s="42" t="n"/>
      <c r="O102" s="5">
        <f>IF(C102="","",IF(OR(F102="Closed",F102=""),0,IF(N102&lt;&gt;"",MAX(0,N102-M102),MAX(0,TODAY()-IF(M102="",C102+IF(E102="Critical",Admin!$C$11,Admin!$C$10),M102)))))</f>
        <v/>
      </c>
      <c r="P102" s="5">
        <f>IF(D102="","",COUNTIFS($D$5:$D$250,D102,$I$5:$I$250,I102,$G$5:$G$250,G102))</f>
        <v/>
      </c>
      <c r="Q102" s="5">
        <f>IF(P102="","",IF(P102&gt;=3,"REPEAT ≥3",IF(P102=2,"REPEAT","Unique")))</f>
        <v/>
      </c>
      <c r="R102" s="7" t="n"/>
      <c r="S102" s="7" t="n"/>
      <c r="T102" s="5">
        <f>IF(E102="","",IF(E102="Critical",25,IF(E102="High",16,IF(E102="Medium",9,4))))</f>
        <v/>
      </c>
    </row>
    <row r="103">
      <c r="B103" s="7" t="n"/>
      <c r="C103" s="42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42" t="n"/>
      <c r="N103" s="42" t="n"/>
      <c r="O103" s="5">
        <f>IF(C103="","",IF(OR(F103="Closed",F103=""),0,IF(N103&lt;&gt;"",MAX(0,N103-M103),MAX(0,TODAY()-IF(M103="",C103+IF(E103="Critical",Admin!$C$11,Admin!$C$10),M103)))))</f>
        <v/>
      </c>
      <c r="P103" s="5">
        <f>IF(D103="","",COUNTIFS($D$5:$D$250,D103,$I$5:$I$250,I103,$G$5:$G$250,G103))</f>
        <v/>
      </c>
      <c r="Q103" s="5">
        <f>IF(P103="","",IF(P103&gt;=3,"REPEAT ≥3",IF(P103=2,"REPEAT","Unique")))</f>
        <v/>
      </c>
      <c r="R103" s="7" t="n"/>
      <c r="S103" s="7" t="n"/>
      <c r="T103" s="5">
        <f>IF(E103="","",IF(E103="Critical",25,IF(E103="High",16,IF(E103="Medium",9,4))))</f>
        <v/>
      </c>
    </row>
    <row r="104">
      <c r="B104" s="7" t="n"/>
      <c r="C104" s="42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42" t="n"/>
      <c r="N104" s="42" t="n"/>
      <c r="O104" s="5">
        <f>IF(C104="","",IF(OR(F104="Closed",F104=""),0,IF(N104&lt;&gt;"",MAX(0,N104-M104),MAX(0,TODAY()-IF(M104="",C104+IF(E104="Critical",Admin!$C$11,Admin!$C$10),M104)))))</f>
        <v/>
      </c>
      <c r="P104" s="5">
        <f>IF(D104="","",COUNTIFS($D$5:$D$250,D104,$I$5:$I$250,I104,$G$5:$G$250,G104))</f>
        <v/>
      </c>
      <c r="Q104" s="5">
        <f>IF(P104="","",IF(P104&gt;=3,"REPEAT ≥3",IF(P104=2,"REPEAT","Unique")))</f>
        <v/>
      </c>
      <c r="R104" s="7" t="n"/>
      <c r="S104" s="7" t="n"/>
      <c r="T104" s="5">
        <f>IF(E104="","",IF(E104="Critical",25,IF(E104="High",16,IF(E104="Medium",9,4))))</f>
        <v/>
      </c>
    </row>
    <row r="105">
      <c r="B105" s="7" t="n"/>
      <c r="C105" s="42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42" t="n"/>
      <c r="N105" s="42" t="n"/>
      <c r="O105" s="5">
        <f>IF(C105="","",IF(OR(F105="Closed",F105=""),0,IF(N105&lt;&gt;"",MAX(0,N105-M105),MAX(0,TODAY()-IF(M105="",C105+IF(E105="Critical",Admin!$C$11,Admin!$C$10),M105)))))</f>
        <v/>
      </c>
      <c r="P105" s="5">
        <f>IF(D105="","",COUNTIFS($D$5:$D$250,D105,$I$5:$I$250,I105,$G$5:$G$250,G105))</f>
        <v/>
      </c>
      <c r="Q105" s="5">
        <f>IF(P105="","",IF(P105&gt;=3,"REPEAT ≥3",IF(P105=2,"REPEAT","Unique")))</f>
        <v/>
      </c>
      <c r="R105" s="7" t="n"/>
      <c r="S105" s="7" t="n"/>
      <c r="T105" s="5">
        <f>IF(E105="","",IF(E105="Critical",25,IF(E105="High",16,IF(E105="Medium",9,4))))</f>
        <v/>
      </c>
    </row>
    <row r="106">
      <c r="B106" s="7" t="n"/>
      <c r="C106" s="42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42" t="n"/>
      <c r="N106" s="42" t="n"/>
      <c r="O106" s="5">
        <f>IF(C106="","",IF(OR(F106="Closed",F106=""),0,IF(N106&lt;&gt;"",MAX(0,N106-M106),MAX(0,TODAY()-IF(M106="",C106+IF(E106="Critical",Admin!$C$11,Admin!$C$10),M106)))))</f>
        <v/>
      </c>
      <c r="P106" s="5">
        <f>IF(D106="","",COUNTIFS($D$5:$D$250,D106,$I$5:$I$250,I106,$G$5:$G$250,G106))</f>
        <v/>
      </c>
      <c r="Q106" s="5">
        <f>IF(P106="","",IF(P106&gt;=3,"REPEAT ≥3",IF(P106=2,"REPEAT","Unique")))</f>
        <v/>
      </c>
      <c r="R106" s="7" t="n"/>
      <c r="S106" s="7" t="n"/>
      <c r="T106" s="5">
        <f>IF(E106="","",IF(E106="Critical",25,IF(E106="High",16,IF(E106="Medium",9,4))))</f>
        <v/>
      </c>
    </row>
    <row r="107">
      <c r="B107" s="7" t="n"/>
      <c r="C107" s="42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42" t="n"/>
      <c r="N107" s="42" t="n"/>
      <c r="O107" s="5">
        <f>IF(C107="","",IF(OR(F107="Closed",F107=""),0,IF(N107&lt;&gt;"",MAX(0,N107-M107),MAX(0,TODAY()-IF(M107="",C107+IF(E107="Critical",Admin!$C$11,Admin!$C$10),M107)))))</f>
        <v/>
      </c>
      <c r="P107" s="5">
        <f>IF(D107="","",COUNTIFS($D$5:$D$250,D107,$I$5:$I$250,I107,$G$5:$G$250,G107))</f>
        <v/>
      </c>
      <c r="Q107" s="5">
        <f>IF(P107="","",IF(P107&gt;=3,"REPEAT ≥3",IF(P107=2,"REPEAT","Unique")))</f>
        <v/>
      </c>
      <c r="R107" s="7" t="n"/>
      <c r="S107" s="7" t="n"/>
      <c r="T107" s="5">
        <f>IF(E107="","",IF(E107="Critical",25,IF(E107="High",16,IF(E107="Medium",9,4))))</f>
        <v/>
      </c>
    </row>
    <row r="108">
      <c r="B108" s="7" t="n"/>
      <c r="C108" s="42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42" t="n"/>
      <c r="N108" s="42" t="n"/>
      <c r="O108" s="5">
        <f>IF(C108="","",IF(OR(F108="Closed",F108=""),0,IF(N108&lt;&gt;"",MAX(0,N108-M108),MAX(0,TODAY()-IF(M108="",C108+IF(E108="Critical",Admin!$C$11,Admin!$C$10),M108)))))</f>
        <v/>
      </c>
      <c r="P108" s="5">
        <f>IF(D108="","",COUNTIFS($D$5:$D$250,D108,$I$5:$I$250,I108,$G$5:$G$250,G108))</f>
        <v/>
      </c>
      <c r="Q108" s="5">
        <f>IF(P108="","",IF(P108&gt;=3,"REPEAT ≥3",IF(P108=2,"REPEAT","Unique")))</f>
        <v/>
      </c>
      <c r="R108" s="7" t="n"/>
      <c r="S108" s="7" t="n"/>
      <c r="T108" s="5">
        <f>IF(E108="","",IF(E108="Critical",25,IF(E108="High",16,IF(E108="Medium",9,4))))</f>
        <v/>
      </c>
    </row>
    <row r="109">
      <c r="B109" s="7" t="n"/>
      <c r="C109" s="42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42" t="n"/>
      <c r="N109" s="42" t="n"/>
      <c r="O109" s="5">
        <f>IF(C109="","",IF(OR(F109="Closed",F109=""),0,IF(N109&lt;&gt;"",MAX(0,N109-M109),MAX(0,TODAY()-IF(M109="",C109+IF(E109="Critical",Admin!$C$11,Admin!$C$10),M109)))))</f>
        <v/>
      </c>
      <c r="P109" s="5">
        <f>IF(D109="","",COUNTIFS($D$5:$D$250,D109,$I$5:$I$250,I109,$G$5:$G$250,G109))</f>
        <v/>
      </c>
      <c r="Q109" s="5">
        <f>IF(P109="","",IF(P109&gt;=3,"REPEAT ≥3",IF(P109=2,"REPEAT","Unique")))</f>
        <v/>
      </c>
      <c r="R109" s="7" t="n"/>
      <c r="S109" s="7" t="n"/>
      <c r="T109" s="5">
        <f>IF(E109="","",IF(E109="Critical",25,IF(E109="High",16,IF(E109="Medium",9,4))))</f>
        <v/>
      </c>
    </row>
    <row r="110">
      <c r="B110" s="7" t="n"/>
      <c r="C110" s="42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42" t="n"/>
      <c r="N110" s="42" t="n"/>
      <c r="O110" s="5">
        <f>IF(C110="","",IF(OR(F110="Closed",F110=""),0,IF(N110&lt;&gt;"",MAX(0,N110-M110),MAX(0,TODAY()-IF(M110="",C110+IF(E110="Critical",Admin!$C$11,Admin!$C$10),M110)))))</f>
        <v/>
      </c>
      <c r="P110" s="5">
        <f>IF(D110="","",COUNTIFS($D$5:$D$250,D110,$I$5:$I$250,I110,$G$5:$G$250,G110))</f>
        <v/>
      </c>
      <c r="Q110" s="5">
        <f>IF(P110="","",IF(P110&gt;=3,"REPEAT ≥3",IF(P110=2,"REPEAT","Unique")))</f>
        <v/>
      </c>
      <c r="R110" s="7" t="n"/>
      <c r="S110" s="7" t="n"/>
      <c r="T110" s="5">
        <f>IF(E110="","",IF(E110="Critical",25,IF(E110="High",16,IF(E110="Medium",9,4))))</f>
        <v/>
      </c>
    </row>
    <row r="111">
      <c r="B111" s="7" t="n"/>
      <c r="C111" s="42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42" t="n"/>
      <c r="N111" s="42" t="n"/>
      <c r="O111" s="5">
        <f>IF(C111="","",IF(OR(F111="Closed",F111=""),0,IF(N111&lt;&gt;"",MAX(0,N111-M111),MAX(0,TODAY()-IF(M111="",C111+IF(E111="Critical",Admin!$C$11,Admin!$C$10),M111)))))</f>
        <v/>
      </c>
      <c r="P111" s="5">
        <f>IF(D111="","",COUNTIFS($D$5:$D$250,D111,$I$5:$I$250,I111,$G$5:$G$250,G111))</f>
        <v/>
      </c>
      <c r="Q111" s="5">
        <f>IF(P111="","",IF(P111&gt;=3,"REPEAT ≥3",IF(P111=2,"REPEAT","Unique")))</f>
        <v/>
      </c>
      <c r="R111" s="7" t="n"/>
      <c r="S111" s="7" t="n"/>
      <c r="T111" s="5">
        <f>IF(E111="","",IF(E111="Critical",25,IF(E111="High",16,IF(E111="Medium",9,4))))</f>
        <v/>
      </c>
    </row>
    <row r="112">
      <c r="B112" s="7" t="n"/>
      <c r="C112" s="42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42" t="n"/>
      <c r="N112" s="42" t="n"/>
      <c r="O112" s="5">
        <f>IF(C112="","",IF(OR(F112="Closed",F112=""),0,IF(N112&lt;&gt;"",MAX(0,N112-M112),MAX(0,TODAY()-IF(M112="",C112+IF(E112="Critical",Admin!$C$11,Admin!$C$10),M112)))))</f>
        <v/>
      </c>
      <c r="P112" s="5">
        <f>IF(D112="","",COUNTIFS($D$5:$D$250,D112,$I$5:$I$250,I112,$G$5:$G$250,G112))</f>
        <v/>
      </c>
      <c r="Q112" s="5">
        <f>IF(P112="","",IF(P112&gt;=3,"REPEAT ≥3",IF(P112=2,"REPEAT","Unique")))</f>
        <v/>
      </c>
      <c r="R112" s="7" t="n"/>
      <c r="S112" s="7" t="n"/>
      <c r="T112" s="5">
        <f>IF(E112="","",IF(E112="Critical",25,IF(E112="High",16,IF(E112="Medium",9,4))))</f>
        <v/>
      </c>
    </row>
    <row r="113">
      <c r="B113" s="7" t="n"/>
      <c r="C113" s="42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42" t="n"/>
      <c r="N113" s="42" t="n"/>
      <c r="O113" s="5">
        <f>IF(C113="","",IF(OR(F113="Closed",F113=""),0,IF(N113&lt;&gt;"",MAX(0,N113-M113),MAX(0,TODAY()-IF(M113="",C113+IF(E113="Critical",Admin!$C$11,Admin!$C$10),M113)))))</f>
        <v/>
      </c>
      <c r="P113" s="5">
        <f>IF(D113="","",COUNTIFS($D$5:$D$250,D113,$I$5:$I$250,I113,$G$5:$G$250,G113))</f>
        <v/>
      </c>
      <c r="Q113" s="5">
        <f>IF(P113="","",IF(P113&gt;=3,"REPEAT ≥3",IF(P113=2,"REPEAT","Unique")))</f>
        <v/>
      </c>
      <c r="R113" s="7" t="n"/>
      <c r="S113" s="7" t="n"/>
      <c r="T113" s="5">
        <f>IF(E113="","",IF(E113="Critical",25,IF(E113="High",16,IF(E113="Medium",9,4))))</f>
        <v/>
      </c>
    </row>
    <row r="114">
      <c r="B114" s="7" t="n"/>
      <c r="C114" s="42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42" t="n"/>
      <c r="N114" s="42" t="n"/>
      <c r="O114" s="5">
        <f>IF(C114="","",IF(OR(F114="Closed",F114=""),0,IF(N114&lt;&gt;"",MAX(0,N114-M114),MAX(0,TODAY()-IF(M114="",C114+IF(E114="Critical",Admin!$C$11,Admin!$C$10),M114)))))</f>
        <v/>
      </c>
      <c r="P114" s="5">
        <f>IF(D114="","",COUNTIFS($D$5:$D$250,D114,$I$5:$I$250,I114,$G$5:$G$250,G114))</f>
        <v/>
      </c>
      <c r="Q114" s="5">
        <f>IF(P114="","",IF(P114&gt;=3,"REPEAT ≥3",IF(P114=2,"REPEAT","Unique")))</f>
        <v/>
      </c>
      <c r="R114" s="7" t="n"/>
      <c r="S114" s="7" t="n"/>
      <c r="T114" s="5">
        <f>IF(E114="","",IF(E114="Critical",25,IF(E114="High",16,IF(E114="Medium",9,4))))</f>
        <v/>
      </c>
    </row>
    <row r="115">
      <c r="B115" s="7" t="n"/>
      <c r="C115" s="42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42" t="n"/>
      <c r="N115" s="42" t="n"/>
      <c r="O115" s="5">
        <f>IF(C115="","",IF(OR(F115="Closed",F115=""),0,IF(N115&lt;&gt;"",MAX(0,N115-M115),MAX(0,TODAY()-IF(M115="",C115+IF(E115="Critical",Admin!$C$11,Admin!$C$10),M115)))))</f>
        <v/>
      </c>
      <c r="P115" s="5">
        <f>IF(D115="","",COUNTIFS($D$5:$D$250,D115,$I$5:$I$250,I115,$G$5:$G$250,G115))</f>
        <v/>
      </c>
      <c r="Q115" s="5">
        <f>IF(P115="","",IF(P115&gt;=3,"REPEAT ≥3",IF(P115=2,"REPEAT","Unique")))</f>
        <v/>
      </c>
      <c r="R115" s="7" t="n"/>
      <c r="S115" s="7" t="n"/>
      <c r="T115" s="5">
        <f>IF(E115="","",IF(E115="Critical",25,IF(E115="High",16,IF(E115="Medium",9,4))))</f>
        <v/>
      </c>
    </row>
    <row r="116">
      <c r="B116" s="7" t="n"/>
      <c r="C116" s="42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42" t="n"/>
      <c r="N116" s="42" t="n"/>
      <c r="O116" s="5">
        <f>IF(C116="","",IF(OR(F116="Closed",F116=""),0,IF(N116&lt;&gt;"",MAX(0,N116-M116),MAX(0,TODAY()-IF(M116="",C116+IF(E116="Critical",Admin!$C$11,Admin!$C$10),M116)))))</f>
        <v/>
      </c>
      <c r="P116" s="5">
        <f>IF(D116="","",COUNTIFS($D$5:$D$250,D116,$I$5:$I$250,I116,$G$5:$G$250,G116))</f>
        <v/>
      </c>
      <c r="Q116" s="5">
        <f>IF(P116="","",IF(P116&gt;=3,"REPEAT ≥3",IF(P116=2,"REPEAT","Unique")))</f>
        <v/>
      </c>
      <c r="R116" s="7" t="n"/>
      <c r="S116" s="7" t="n"/>
      <c r="T116" s="5">
        <f>IF(E116="","",IF(E116="Critical",25,IF(E116="High",16,IF(E116="Medium",9,4))))</f>
        <v/>
      </c>
    </row>
    <row r="117">
      <c r="B117" s="7" t="n"/>
      <c r="C117" s="42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42" t="n"/>
      <c r="N117" s="42" t="n"/>
      <c r="O117" s="5">
        <f>IF(C117="","",IF(OR(F117="Closed",F117=""),0,IF(N117&lt;&gt;"",MAX(0,N117-M117),MAX(0,TODAY()-IF(M117="",C117+IF(E117="Critical",Admin!$C$11,Admin!$C$10),M117)))))</f>
        <v/>
      </c>
      <c r="P117" s="5">
        <f>IF(D117="","",COUNTIFS($D$5:$D$250,D117,$I$5:$I$250,I117,$G$5:$G$250,G117))</f>
        <v/>
      </c>
      <c r="Q117" s="5">
        <f>IF(P117="","",IF(P117&gt;=3,"REPEAT ≥3",IF(P117=2,"REPEAT","Unique")))</f>
        <v/>
      </c>
      <c r="R117" s="7" t="n"/>
      <c r="S117" s="7" t="n"/>
      <c r="T117" s="5">
        <f>IF(E117="","",IF(E117="Critical",25,IF(E117="High",16,IF(E117="Medium",9,4))))</f>
        <v/>
      </c>
    </row>
    <row r="118">
      <c r="B118" s="7" t="n"/>
      <c r="C118" s="42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42" t="n"/>
      <c r="N118" s="42" t="n"/>
      <c r="O118" s="5">
        <f>IF(C118="","",IF(OR(F118="Closed",F118=""),0,IF(N118&lt;&gt;"",MAX(0,N118-M118),MAX(0,TODAY()-IF(M118="",C118+IF(E118="Critical",Admin!$C$11,Admin!$C$10),M118)))))</f>
        <v/>
      </c>
      <c r="P118" s="5">
        <f>IF(D118="","",COUNTIFS($D$5:$D$250,D118,$I$5:$I$250,I118,$G$5:$G$250,G118))</f>
        <v/>
      </c>
      <c r="Q118" s="5">
        <f>IF(P118="","",IF(P118&gt;=3,"REPEAT ≥3",IF(P118=2,"REPEAT","Unique")))</f>
        <v/>
      </c>
      <c r="R118" s="7" t="n"/>
      <c r="S118" s="7" t="n"/>
      <c r="T118" s="5">
        <f>IF(E118="","",IF(E118="Critical",25,IF(E118="High",16,IF(E118="Medium",9,4))))</f>
        <v/>
      </c>
    </row>
    <row r="119">
      <c r="B119" s="7" t="n"/>
      <c r="C119" s="42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42" t="n"/>
      <c r="N119" s="42" t="n"/>
      <c r="O119" s="5">
        <f>IF(C119="","",IF(OR(F119="Closed",F119=""),0,IF(N119&lt;&gt;"",MAX(0,N119-M119),MAX(0,TODAY()-IF(M119="",C119+IF(E119="Critical",Admin!$C$11,Admin!$C$10),M119)))))</f>
        <v/>
      </c>
      <c r="P119" s="5">
        <f>IF(D119="","",COUNTIFS($D$5:$D$250,D119,$I$5:$I$250,I119,$G$5:$G$250,G119))</f>
        <v/>
      </c>
      <c r="Q119" s="5">
        <f>IF(P119="","",IF(P119&gt;=3,"REPEAT ≥3",IF(P119=2,"REPEAT","Unique")))</f>
        <v/>
      </c>
      <c r="R119" s="7" t="n"/>
      <c r="S119" s="7" t="n"/>
      <c r="T119" s="5">
        <f>IF(E119="","",IF(E119="Critical",25,IF(E119="High",16,IF(E119="Medium",9,4))))</f>
        <v/>
      </c>
    </row>
    <row r="120">
      <c r="B120" s="7" t="n"/>
      <c r="C120" s="42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42" t="n"/>
      <c r="N120" s="42" t="n"/>
      <c r="O120" s="5">
        <f>IF(C120="","",IF(OR(F120="Closed",F120=""),0,IF(N120&lt;&gt;"",MAX(0,N120-M120),MAX(0,TODAY()-IF(M120="",C120+IF(E120="Critical",Admin!$C$11,Admin!$C$10),M120)))))</f>
        <v/>
      </c>
      <c r="P120" s="5">
        <f>IF(D120="","",COUNTIFS($D$5:$D$250,D120,$I$5:$I$250,I120,$G$5:$G$250,G120))</f>
        <v/>
      </c>
      <c r="Q120" s="5">
        <f>IF(P120="","",IF(P120&gt;=3,"REPEAT ≥3",IF(P120=2,"REPEAT","Unique")))</f>
        <v/>
      </c>
      <c r="R120" s="7" t="n"/>
      <c r="S120" s="7" t="n"/>
      <c r="T120" s="5">
        <f>IF(E120="","",IF(E120="Critical",25,IF(E120="High",16,IF(E120="Medium",9,4))))</f>
        <v/>
      </c>
    </row>
    <row r="121">
      <c r="B121" s="7" t="n"/>
      <c r="C121" s="42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42" t="n"/>
      <c r="N121" s="42" t="n"/>
      <c r="O121" s="5">
        <f>IF(C121="","",IF(OR(F121="Closed",F121=""),0,IF(N121&lt;&gt;"",MAX(0,N121-M121),MAX(0,TODAY()-IF(M121="",C121+IF(E121="Critical",Admin!$C$11,Admin!$C$10),M121)))))</f>
        <v/>
      </c>
      <c r="P121" s="5">
        <f>IF(D121="","",COUNTIFS($D$5:$D$250,D121,$I$5:$I$250,I121,$G$5:$G$250,G121))</f>
        <v/>
      </c>
      <c r="Q121" s="5">
        <f>IF(P121="","",IF(P121&gt;=3,"REPEAT ≥3",IF(P121=2,"REPEAT","Unique")))</f>
        <v/>
      </c>
      <c r="R121" s="7" t="n"/>
      <c r="S121" s="7" t="n"/>
      <c r="T121" s="5">
        <f>IF(E121="","",IF(E121="Critical",25,IF(E121="High",16,IF(E121="Medium",9,4))))</f>
        <v/>
      </c>
    </row>
    <row r="122">
      <c r="B122" s="7" t="n"/>
      <c r="C122" s="42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42" t="n"/>
      <c r="N122" s="42" t="n"/>
      <c r="O122" s="5">
        <f>IF(C122="","",IF(OR(F122="Closed",F122=""),0,IF(N122&lt;&gt;"",MAX(0,N122-M122),MAX(0,TODAY()-IF(M122="",C122+IF(E122="Critical",Admin!$C$11,Admin!$C$10),M122)))))</f>
        <v/>
      </c>
      <c r="P122" s="5">
        <f>IF(D122="","",COUNTIFS($D$5:$D$250,D122,$I$5:$I$250,I122,$G$5:$G$250,G122))</f>
        <v/>
      </c>
      <c r="Q122" s="5">
        <f>IF(P122="","",IF(P122&gt;=3,"REPEAT ≥3",IF(P122=2,"REPEAT","Unique")))</f>
        <v/>
      </c>
      <c r="R122" s="7" t="n"/>
      <c r="S122" s="7" t="n"/>
      <c r="T122" s="5">
        <f>IF(E122="","",IF(E122="Critical",25,IF(E122="High",16,IF(E122="Medium",9,4))))</f>
        <v/>
      </c>
    </row>
    <row r="123">
      <c r="B123" s="7" t="n"/>
      <c r="C123" s="42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42" t="n"/>
      <c r="N123" s="42" t="n"/>
      <c r="O123" s="5">
        <f>IF(C123="","",IF(OR(F123="Closed",F123=""),0,IF(N123&lt;&gt;"",MAX(0,N123-M123),MAX(0,TODAY()-IF(M123="",C123+IF(E123="Critical",Admin!$C$11,Admin!$C$10),M123)))))</f>
        <v/>
      </c>
      <c r="P123" s="5">
        <f>IF(D123="","",COUNTIFS($D$5:$D$250,D123,$I$5:$I$250,I123,$G$5:$G$250,G123))</f>
        <v/>
      </c>
      <c r="Q123" s="5">
        <f>IF(P123="","",IF(P123&gt;=3,"REPEAT ≥3",IF(P123=2,"REPEAT","Unique")))</f>
        <v/>
      </c>
      <c r="R123" s="7" t="n"/>
      <c r="S123" s="7" t="n"/>
      <c r="T123" s="5">
        <f>IF(E123="","",IF(E123="Critical",25,IF(E123="High",16,IF(E123="Medium",9,4))))</f>
        <v/>
      </c>
    </row>
    <row r="124">
      <c r="B124" s="7" t="n"/>
      <c r="C124" s="42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42" t="n"/>
      <c r="N124" s="42" t="n"/>
      <c r="O124" s="5">
        <f>IF(C124="","",IF(OR(F124="Closed",F124=""),0,IF(N124&lt;&gt;"",MAX(0,N124-M124),MAX(0,TODAY()-IF(M124="",C124+IF(E124="Critical",Admin!$C$11,Admin!$C$10),M124)))))</f>
        <v/>
      </c>
      <c r="P124" s="5">
        <f>IF(D124="","",COUNTIFS($D$5:$D$250,D124,$I$5:$I$250,I124,$G$5:$G$250,G124))</f>
        <v/>
      </c>
      <c r="Q124" s="5">
        <f>IF(P124="","",IF(P124&gt;=3,"REPEAT ≥3",IF(P124=2,"REPEAT","Unique")))</f>
        <v/>
      </c>
      <c r="R124" s="7" t="n"/>
      <c r="S124" s="7" t="n"/>
      <c r="T124" s="5">
        <f>IF(E124="","",IF(E124="Critical",25,IF(E124="High",16,IF(E124="Medium",9,4))))</f>
        <v/>
      </c>
    </row>
    <row r="125">
      <c r="B125" s="7" t="n"/>
      <c r="C125" s="42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42" t="n"/>
      <c r="N125" s="42" t="n"/>
      <c r="O125" s="5">
        <f>IF(C125="","",IF(OR(F125="Closed",F125=""),0,IF(N125&lt;&gt;"",MAX(0,N125-M125),MAX(0,TODAY()-IF(M125="",C125+IF(E125="Critical",Admin!$C$11,Admin!$C$10),M125)))))</f>
        <v/>
      </c>
      <c r="P125" s="5">
        <f>IF(D125="","",COUNTIFS($D$5:$D$250,D125,$I$5:$I$250,I125,$G$5:$G$250,G125))</f>
        <v/>
      </c>
      <c r="Q125" s="5">
        <f>IF(P125="","",IF(P125&gt;=3,"REPEAT ≥3",IF(P125=2,"REPEAT","Unique")))</f>
        <v/>
      </c>
      <c r="R125" s="7" t="n"/>
      <c r="S125" s="7" t="n"/>
      <c r="T125" s="5">
        <f>IF(E125="","",IF(E125="Critical",25,IF(E125="High",16,IF(E125="Medium",9,4))))</f>
        <v/>
      </c>
    </row>
    <row r="126">
      <c r="B126" s="7" t="n"/>
      <c r="C126" s="42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42" t="n"/>
      <c r="N126" s="42" t="n"/>
      <c r="O126" s="5">
        <f>IF(C126="","",IF(OR(F126="Closed",F126=""),0,IF(N126&lt;&gt;"",MAX(0,N126-M126),MAX(0,TODAY()-IF(M126="",C126+IF(E126="Critical",Admin!$C$11,Admin!$C$10),M126)))))</f>
        <v/>
      </c>
      <c r="P126" s="5">
        <f>IF(D126="","",COUNTIFS($D$5:$D$250,D126,$I$5:$I$250,I126,$G$5:$G$250,G126))</f>
        <v/>
      </c>
      <c r="Q126" s="5">
        <f>IF(P126="","",IF(P126&gt;=3,"REPEAT ≥3",IF(P126=2,"REPEAT","Unique")))</f>
        <v/>
      </c>
      <c r="R126" s="7" t="n"/>
      <c r="S126" s="7" t="n"/>
      <c r="T126" s="5">
        <f>IF(E126="","",IF(E126="Critical",25,IF(E126="High",16,IF(E126="Medium",9,4))))</f>
        <v/>
      </c>
    </row>
    <row r="127">
      <c r="B127" s="7" t="n"/>
      <c r="C127" s="42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42" t="n"/>
      <c r="N127" s="42" t="n"/>
      <c r="O127" s="5">
        <f>IF(C127="","",IF(OR(F127="Closed",F127=""),0,IF(N127&lt;&gt;"",MAX(0,N127-M127),MAX(0,TODAY()-IF(M127="",C127+IF(E127="Critical",Admin!$C$11,Admin!$C$10),M127)))))</f>
        <v/>
      </c>
      <c r="P127" s="5">
        <f>IF(D127="","",COUNTIFS($D$5:$D$250,D127,$I$5:$I$250,I127,$G$5:$G$250,G127))</f>
        <v/>
      </c>
      <c r="Q127" s="5">
        <f>IF(P127="","",IF(P127&gt;=3,"REPEAT ≥3",IF(P127=2,"REPEAT","Unique")))</f>
        <v/>
      </c>
      <c r="R127" s="7" t="n"/>
      <c r="S127" s="7" t="n"/>
      <c r="T127" s="5">
        <f>IF(E127="","",IF(E127="Critical",25,IF(E127="High",16,IF(E127="Medium",9,4))))</f>
        <v/>
      </c>
    </row>
    <row r="128">
      <c r="B128" s="7" t="n"/>
      <c r="C128" s="42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42" t="n"/>
      <c r="N128" s="42" t="n"/>
      <c r="O128" s="5">
        <f>IF(C128="","",IF(OR(F128="Closed",F128=""),0,IF(N128&lt;&gt;"",MAX(0,N128-M128),MAX(0,TODAY()-IF(M128="",C128+IF(E128="Critical",Admin!$C$11,Admin!$C$10),M128)))))</f>
        <v/>
      </c>
      <c r="P128" s="5">
        <f>IF(D128="","",COUNTIFS($D$5:$D$250,D128,$I$5:$I$250,I128,$G$5:$G$250,G128))</f>
        <v/>
      </c>
      <c r="Q128" s="5">
        <f>IF(P128="","",IF(P128&gt;=3,"REPEAT ≥3",IF(P128=2,"REPEAT","Unique")))</f>
        <v/>
      </c>
      <c r="R128" s="7" t="n"/>
      <c r="S128" s="7" t="n"/>
      <c r="T128" s="5">
        <f>IF(E128="","",IF(E128="Critical",25,IF(E128="High",16,IF(E128="Medium",9,4))))</f>
        <v/>
      </c>
    </row>
    <row r="129">
      <c r="B129" s="7" t="n"/>
      <c r="C129" s="42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42" t="n"/>
      <c r="N129" s="42" t="n"/>
      <c r="O129" s="5">
        <f>IF(C129="","",IF(OR(F129="Closed",F129=""),0,IF(N129&lt;&gt;"",MAX(0,N129-M129),MAX(0,TODAY()-IF(M129="",C129+IF(E129="Critical",Admin!$C$11,Admin!$C$10),M129)))))</f>
        <v/>
      </c>
      <c r="P129" s="5">
        <f>IF(D129="","",COUNTIFS($D$5:$D$250,D129,$I$5:$I$250,I129,$G$5:$G$250,G129))</f>
        <v/>
      </c>
      <c r="Q129" s="5">
        <f>IF(P129="","",IF(P129&gt;=3,"REPEAT ≥3",IF(P129=2,"REPEAT","Unique")))</f>
        <v/>
      </c>
      <c r="R129" s="7" t="n"/>
      <c r="S129" s="7" t="n"/>
      <c r="T129" s="5">
        <f>IF(E129="","",IF(E129="Critical",25,IF(E129="High",16,IF(E129="Medium",9,4))))</f>
        <v/>
      </c>
    </row>
    <row r="130">
      <c r="B130" s="7" t="n"/>
      <c r="C130" s="42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42" t="n"/>
      <c r="N130" s="42" t="n"/>
      <c r="O130" s="5">
        <f>IF(C130="","",IF(OR(F130="Closed",F130=""),0,IF(N130&lt;&gt;"",MAX(0,N130-M130),MAX(0,TODAY()-IF(M130="",C130+IF(E130="Critical",Admin!$C$11,Admin!$C$10),M130)))))</f>
        <v/>
      </c>
      <c r="P130" s="5">
        <f>IF(D130="","",COUNTIFS($D$5:$D$250,D130,$I$5:$I$250,I130,$G$5:$G$250,G130))</f>
        <v/>
      </c>
      <c r="Q130" s="5">
        <f>IF(P130="","",IF(P130&gt;=3,"REPEAT ≥3",IF(P130=2,"REPEAT","Unique")))</f>
        <v/>
      </c>
      <c r="R130" s="7" t="n"/>
      <c r="S130" s="7" t="n"/>
      <c r="T130" s="5">
        <f>IF(E130="","",IF(E130="Critical",25,IF(E130="High",16,IF(E130="Medium",9,4))))</f>
        <v/>
      </c>
    </row>
    <row r="131">
      <c r="B131" s="7" t="n"/>
      <c r="C131" s="42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42" t="n"/>
      <c r="N131" s="42" t="n"/>
      <c r="O131" s="5">
        <f>IF(C131="","",IF(OR(F131="Closed",F131=""),0,IF(N131&lt;&gt;"",MAX(0,N131-M131),MAX(0,TODAY()-IF(M131="",C131+IF(E131="Critical",Admin!$C$11,Admin!$C$10),M131)))))</f>
        <v/>
      </c>
      <c r="P131" s="5">
        <f>IF(D131="","",COUNTIFS($D$5:$D$250,D131,$I$5:$I$250,I131,$G$5:$G$250,G131))</f>
        <v/>
      </c>
      <c r="Q131" s="5">
        <f>IF(P131="","",IF(P131&gt;=3,"REPEAT ≥3",IF(P131=2,"REPEAT","Unique")))</f>
        <v/>
      </c>
      <c r="R131" s="7" t="n"/>
      <c r="S131" s="7" t="n"/>
      <c r="T131" s="5">
        <f>IF(E131="","",IF(E131="Critical",25,IF(E131="High",16,IF(E131="Medium",9,4))))</f>
        <v/>
      </c>
    </row>
    <row r="132">
      <c r="B132" s="7" t="n"/>
      <c r="C132" s="42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42" t="n"/>
      <c r="N132" s="42" t="n"/>
      <c r="O132" s="5">
        <f>IF(C132="","",IF(OR(F132="Closed",F132=""),0,IF(N132&lt;&gt;"",MAX(0,N132-M132),MAX(0,TODAY()-IF(M132="",C132+IF(E132="Critical",Admin!$C$11,Admin!$C$10),M132)))))</f>
        <v/>
      </c>
      <c r="P132" s="5">
        <f>IF(D132="","",COUNTIFS($D$5:$D$250,D132,$I$5:$I$250,I132,$G$5:$G$250,G132))</f>
        <v/>
      </c>
      <c r="Q132" s="5">
        <f>IF(P132="","",IF(P132&gt;=3,"REPEAT ≥3",IF(P132=2,"REPEAT","Unique")))</f>
        <v/>
      </c>
      <c r="R132" s="7" t="n"/>
      <c r="S132" s="7" t="n"/>
      <c r="T132" s="5">
        <f>IF(E132="","",IF(E132="Critical",25,IF(E132="High",16,IF(E132="Medium",9,4))))</f>
        <v/>
      </c>
    </row>
    <row r="133">
      <c r="B133" s="7" t="n"/>
      <c r="C133" s="42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42" t="n"/>
      <c r="N133" s="42" t="n"/>
      <c r="O133" s="5">
        <f>IF(C133="","",IF(OR(F133="Closed",F133=""),0,IF(N133&lt;&gt;"",MAX(0,N133-M133),MAX(0,TODAY()-IF(M133="",C133+IF(E133="Critical",Admin!$C$11,Admin!$C$10),M133)))))</f>
        <v/>
      </c>
      <c r="P133" s="5">
        <f>IF(D133="","",COUNTIFS($D$5:$D$250,D133,$I$5:$I$250,I133,$G$5:$G$250,G133))</f>
        <v/>
      </c>
      <c r="Q133" s="5">
        <f>IF(P133="","",IF(P133&gt;=3,"REPEAT ≥3",IF(P133=2,"REPEAT","Unique")))</f>
        <v/>
      </c>
      <c r="R133" s="7" t="n"/>
      <c r="S133" s="7" t="n"/>
      <c r="T133" s="5">
        <f>IF(E133="","",IF(E133="Critical",25,IF(E133="High",16,IF(E133="Medium",9,4))))</f>
        <v/>
      </c>
    </row>
    <row r="134">
      <c r="B134" s="7" t="n"/>
      <c r="C134" s="42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42" t="n"/>
      <c r="N134" s="42" t="n"/>
      <c r="O134" s="5">
        <f>IF(C134="","",IF(OR(F134="Closed",F134=""),0,IF(N134&lt;&gt;"",MAX(0,N134-M134),MAX(0,TODAY()-IF(M134="",C134+IF(E134="Critical",Admin!$C$11,Admin!$C$10),M134)))))</f>
        <v/>
      </c>
      <c r="P134" s="5">
        <f>IF(D134="","",COUNTIFS($D$5:$D$250,D134,$I$5:$I$250,I134,$G$5:$G$250,G134))</f>
        <v/>
      </c>
      <c r="Q134" s="5">
        <f>IF(P134="","",IF(P134&gt;=3,"REPEAT ≥3",IF(P134=2,"REPEAT","Unique")))</f>
        <v/>
      </c>
      <c r="R134" s="7" t="n"/>
      <c r="S134" s="7" t="n"/>
      <c r="T134" s="5">
        <f>IF(E134="","",IF(E134="Critical",25,IF(E134="High",16,IF(E134="Medium",9,4))))</f>
        <v/>
      </c>
    </row>
    <row r="135">
      <c r="B135" s="7" t="n"/>
      <c r="C135" s="42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42" t="n"/>
      <c r="N135" s="42" t="n"/>
      <c r="O135" s="5">
        <f>IF(C135="","",IF(OR(F135="Closed",F135=""),0,IF(N135&lt;&gt;"",MAX(0,N135-M135),MAX(0,TODAY()-IF(M135="",C135+IF(E135="Critical",Admin!$C$11,Admin!$C$10),M135)))))</f>
        <v/>
      </c>
      <c r="P135" s="5">
        <f>IF(D135="","",COUNTIFS($D$5:$D$250,D135,$I$5:$I$250,I135,$G$5:$G$250,G135))</f>
        <v/>
      </c>
      <c r="Q135" s="5">
        <f>IF(P135="","",IF(P135&gt;=3,"REPEAT ≥3",IF(P135=2,"REPEAT","Unique")))</f>
        <v/>
      </c>
      <c r="R135" s="7" t="n"/>
      <c r="S135" s="7" t="n"/>
      <c r="T135" s="5">
        <f>IF(E135="","",IF(E135="Critical",25,IF(E135="High",16,IF(E135="Medium",9,4))))</f>
        <v/>
      </c>
    </row>
    <row r="136">
      <c r="B136" s="7" t="n"/>
      <c r="C136" s="42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42" t="n"/>
      <c r="N136" s="42" t="n"/>
      <c r="O136" s="5">
        <f>IF(C136="","",IF(OR(F136="Closed",F136=""),0,IF(N136&lt;&gt;"",MAX(0,N136-M136),MAX(0,TODAY()-IF(M136="",C136+IF(E136="Critical",Admin!$C$11,Admin!$C$10),M136)))))</f>
        <v/>
      </c>
      <c r="P136" s="5">
        <f>IF(D136="","",COUNTIFS($D$5:$D$250,D136,$I$5:$I$250,I136,$G$5:$G$250,G136))</f>
        <v/>
      </c>
      <c r="Q136" s="5">
        <f>IF(P136="","",IF(P136&gt;=3,"REPEAT ≥3",IF(P136=2,"REPEAT","Unique")))</f>
        <v/>
      </c>
      <c r="R136" s="7" t="n"/>
      <c r="S136" s="7" t="n"/>
      <c r="T136" s="5">
        <f>IF(E136="","",IF(E136="Critical",25,IF(E136="High",16,IF(E136="Medium",9,4))))</f>
        <v/>
      </c>
    </row>
    <row r="137">
      <c r="B137" s="7" t="n"/>
      <c r="C137" s="42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42" t="n"/>
      <c r="N137" s="42" t="n"/>
      <c r="O137" s="5">
        <f>IF(C137="","",IF(OR(F137="Closed",F137=""),0,IF(N137&lt;&gt;"",MAX(0,N137-M137),MAX(0,TODAY()-IF(M137="",C137+IF(E137="Critical",Admin!$C$11,Admin!$C$10),M137)))))</f>
        <v/>
      </c>
      <c r="P137" s="5">
        <f>IF(D137="","",COUNTIFS($D$5:$D$250,D137,$I$5:$I$250,I137,$G$5:$G$250,G137))</f>
        <v/>
      </c>
      <c r="Q137" s="5">
        <f>IF(P137="","",IF(P137&gt;=3,"REPEAT ≥3",IF(P137=2,"REPEAT","Unique")))</f>
        <v/>
      </c>
      <c r="R137" s="7" t="n"/>
      <c r="S137" s="7" t="n"/>
      <c r="T137" s="5">
        <f>IF(E137="","",IF(E137="Critical",25,IF(E137="High",16,IF(E137="Medium",9,4))))</f>
        <v/>
      </c>
    </row>
    <row r="138">
      <c r="B138" s="7" t="n"/>
      <c r="C138" s="42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42" t="n"/>
      <c r="N138" s="42" t="n"/>
      <c r="O138" s="5">
        <f>IF(C138="","",IF(OR(F138="Closed",F138=""),0,IF(N138&lt;&gt;"",MAX(0,N138-M138),MAX(0,TODAY()-IF(M138="",C138+IF(E138="Critical",Admin!$C$11,Admin!$C$10),M138)))))</f>
        <v/>
      </c>
      <c r="P138" s="5">
        <f>IF(D138="","",COUNTIFS($D$5:$D$250,D138,$I$5:$I$250,I138,$G$5:$G$250,G138))</f>
        <v/>
      </c>
      <c r="Q138" s="5">
        <f>IF(P138="","",IF(P138&gt;=3,"REPEAT ≥3",IF(P138=2,"REPEAT","Unique")))</f>
        <v/>
      </c>
      <c r="R138" s="7" t="n"/>
      <c r="S138" s="7" t="n"/>
      <c r="T138" s="5">
        <f>IF(E138="","",IF(E138="Critical",25,IF(E138="High",16,IF(E138="Medium",9,4))))</f>
        <v/>
      </c>
    </row>
    <row r="139">
      <c r="B139" s="7" t="n"/>
      <c r="C139" s="42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42" t="n"/>
      <c r="N139" s="42" t="n"/>
      <c r="O139" s="5">
        <f>IF(C139="","",IF(OR(F139="Closed",F139=""),0,IF(N139&lt;&gt;"",MAX(0,N139-M139),MAX(0,TODAY()-IF(M139="",C139+IF(E139="Critical",Admin!$C$11,Admin!$C$10),M139)))))</f>
        <v/>
      </c>
      <c r="P139" s="5">
        <f>IF(D139="","",COUNTIFS($D$5:$D$250,D139,$I$5:$I$250,I139,$G$5:$G$250,G139))</f>
        <v/>
      </c>
      <c r="Q139" s="5">
        <f>IF(P139="","",IF(P139&gt;=3,"REPEAT ≥3",IF(P139=2,"REPEAT","Unique")))</f>
        <v/>
      </c>
      <c r="R139" s="7" t="n"/>
      <c r="S139" s="7" t="n"/>
      <c r="T139" s="5">
        <f>IF(E139="","",IF(E139="Critical",25,IF(E139="High",16,IF(E139="Medium",9,4))))</f>
        <v/>
      </c>
    </row>
    <row r="140">
      <c r="B140" s="7" t="n"/>
      <c r="C140" s="42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42" t="n"/>
      <c r="N140" s="42" t="n"/>
      <c r="O140" s="5">
        <f>IF(C140="","",IF(OR(F140="Closed",F140=""),0,IF(N140&lt;&gt;"",MAX(0,N140-M140),MAX(0,TODAY()-IF(M140="",C140+IF(E140="Critical",Admin!$C$11,Admin!$C$10),M140)))))</f>
        <v/>
      </c>
      <c r="P140" s="5">
        <f>IF(D140="","",COUNTIFS($D$5:$D$250,D140,$I$5:$I$250,I140,$G$5:$G$250,G140))</f>
        <v/>
      </c>
      <c r="Q140" s="5">
        <f>IF(P140="","",IF(P140&gt;=3,"REPEAT ≥3",IF(P140=2,"REPEAT","Unique")))</f>
        <v/>
      </c>
      <c r="R140" s="7" t="n"/>
      <c r="S140" s="7" t="n"/>
      <c r="T140" s="5">
        <f>IF(E140="","",IF(E140="Critical",25,IF(E140="High",16,IF(E140="Medium",9,4))))</f>
        <v/>
      </c>
    </row>
    <row r="141">
      <c r="B141" s="7" t="n"/>
      <c r="C141" s="42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42" t="n"/>
      <c r="N141" s="42" t="n"/>
      <c r="O141" s="5">
        <f>IF(C141="","",IF(OR(F141="Closed",F141=""),0,IF(N141&lt;&gt;"",MAX(0,N141-M141),MAX(0,TODAY()-IF(M141="",C141+IF(E141="Critical",Admin!$C$11,Admin!$C$10),M141)))))</f>
        <v/>
      </c>
      <c r="P141" s="5">
        <f>IF(D141="","",COUNTIFS($D$5:$D$250,D141,$I$5:$I$250,I141,$G$5:$G$250,G141))</f>
        <v/>
      </c>
      <c r="Q141" s="5">
        <f>IF(P141="","",IF(P141&gt;=3,"REPEAT ≥3",IF(P141=2,"REPEAT","Unique")))</f>
        <v/>
      </c>
      <c r="R141" s="7" t="n"/>
      <c r="S141" s="7" t="n"/>
      <c r="T141" s="5">
        <f>IF(E141="","",IF(E141="Critical",25,IF(E141="High",16,IF(E141="Medium",9,4))))</f>
        <v/>
      </c>
    </row>
    <row r="142">
      <c r="B142" s="7" t="n"/>
      <c r="C142" s="42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42" t="n"/>
      <c r="N142" s="42" t="n"/>
      <c r="O142" s="5">
        <f>IF(C142="","",IF(OR(F142="Closed",F142=""),0,IF(N142&lt;&gt;"",MAX(0,N142-M142),MAX(0,TODAY()-IF(M142="",C142+IF(E142="Critical",Admin!$C$11,Admin!$C$10),M142)))))</f>
        <v/>
      </c>
      <c r="P142" s="5">
        <f>IF(D142="","",COUNTIFS($D$5:$D$250,D142,$I$5:$I$250,I142,$G$5:$G$250,G142))</f>
        <v/>
      </c>
      <c r="Q142" s="5">
        <f>IF(P142="","",IF(P142&gt;=3,"REPEAT ≥3",IF(P142=2,"REPEAT","Unique")))</f>
        <v/>
      </c>
      <c r="R142" s="7" t="n"/>
      <c r="S142" s="7" t="n"/>
      <c r="T142" s="5">
        <f>IF(E142="","",IF(E142="Critical",25,IF(E142="High",16,IF(E142="Medium",9,4))))</f>
        <v/>
      </c>
    </row>
    <row r="143">
      <c r="B143" s="7" t="n"/>
      <c r="C143" s="42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42" t="n"/>
      <c r="N143" s="42" t="n"/>
      <c r="O143" s="5">
        <f>IF(C143="","",IF(OR(F143="Closed",F143=""),0,IF(N143&lt;&gt;"",MAX(0,N143-M143),MAX(0,TODAY()-IF(M143="",C143+IF(E143="Critical",Admin!$C$11,Admin!$C$10),M143)))))</f>
        <v/>
      </c>
      <c r="P143" s="5">
        <f>IF(D143="","",COUNTIFS($D$5:$D$250,D143,$I$5:$I$250,I143,$G$5:$G$250,G143))</f>
        <v/>
      </c>
      <c r="Q143" s="5">
        <f>IF(P143="","",IF(P143&gt;=3,"REPEAT ≥3",IF(P143=2,"REPEAT","Unique")))</f>
        <v/>
      </c>
      <c r="R143" s="7" t="n"/>
      <c r="S143" s="7" t="n"/>
      <c r="T143" s="5">
        <f>IF(E143="","",IF(E143="Critical",25,IF(E143="High",16,IF(E143="Medium",9,4))))</f>
        <v/>
      </c>
    </row>
    <row r="144">
      <c r="B144" s="7" t="n"/>
      <c r="C144" s="42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42" t="n"/>
      <c r="N144" s="42" t="n"/>
      <c r="O144" s="5">
        <f>IF(C144="","",IF(OR(F144="Closed",F144=""),0,IF(N144&lt;&gt;"",MAX(0,N144-M144),MAX(0,TODAY()-IF(M144="",C144+IF(E144="Critical",Admin!$C$11,Admin!$C$10),M144)))))</f>
        <v/>
      </c>
      <c r="P144" s="5">
        <f>IF(D144="","",COUNTIFS($D$5:$D$250,D144,$I$5:$I$250,I144,$G$5:$G$250,G144))</f>
        <v/>
      </c>
      <c r="Q144" s="5">
        <f>IF(P144="","",IF(P144&gt;=3,"REPEAT ≥3",IF(P144=2,"REPEAT","Unique")))</f>
        <v/>
      </c>
      <c r="R144" s="7" t="n"/>
      <c r="S144" s="7" t="n"/>
      <c r="T144" s="5">
        <f>IF(E144="","",IF(E144="Critical",25,IF(E144="High",16,IF(E144="Medium",9,4))))</f>
        <v/>
      </c>
    </row>
    <row r="145">
      <c r="B145" s="7" t="n"/>
      <c r="C145" s="42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42" t="n"/>
      <c r="N145" s="42" t="n"/>
      <c r="O145" s="5">
        <f>IF(C145="","",IF(OR(F145="Closed",F145=""),0,IF(N145&lt;&gt;"",MAX(0,N145-M145),MAX(0,TODAY()-IF(M145="",C145+IF(E145="Critical",Admin!$C$11,Admin!$C$10),M145)))))</f>
        <v/>
      </c>
      <c r="P145" s="5">
        <f>IF(D145="","",COUNTIFS($D$5:$D$250,D145,$I$5:$I$250,I145,$G$5:$G$250,G145))</f>
        <v/>
      </c>
      <c r="Q145" s="5">
        <f>IF(P145="","",IF(P145&gt;=3,"REPEAT ≥3",IF(P145=2,"REPEAT","Unique")))</f>
        <v/>
      </c>
      <c r="R145" s="7" t="n"/>
      <c r="S145" s="7" t="n"/>
      <c r="T145" s="5">
        <f>IF(E145="","",IF(E145="Critical",25,IF(E145="High",16,IF(E145="Medium",9,4))))</f>
        <v/>
      </c>
    </row>
    <row r="146">
      <c r="B146" s="7" t="n"/>
      <c r="C146" s="42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42" t="n"/>
      <c r="N146" s="42" t="n"/>
      <c r="O146" s="5">
        <f>IF(C146="","",IF(OR(F146="Closed",F146=""),0,IF(N146&lt;&gt;"",MAX(0,N146-M146),MAX(0,TODAY()-IF(M146="",C146+IF(E146="Critical",Admin!$C$11,Admin!$C$10),M146)))))</f>
        <v/>
      </c>
      <c r="P146" s="5">
        <f>IF(D146="","",COUNTIFS($D$5:$D$250,D146,$I$5:$I$250,I146,$G$5:$G$250,G146))</f>
        <v/>
      </c>
      <c r="Q146" s="5">
        <f>IF(P146="","",IF(P146&gt;=3,"REPEAT ≥3",IF(P146=2,"REPEAT","Unique")))</f>
        <v/>
      </c>
      <c r="R146" s="7" t="n"/>
      <c r="S146" s="7" t="n"/>
      <c r="T146" s="5">
        <f>IF(E146="","",IF(E146="Critical",25,IF(E146="High",16,IF(E146="Medium",9,4))))</f>
        <v/>
      </c>
    </row>
    <row r="147">
      <c r="B147" s="7" t="n"/>
      <c r="C147" s="42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42" t="n"/>
      <c r="N147" s="42" t="n"/>
      <c r="O147" s="5">
        <f>IF(C147="","",IF(OR(F147="Closed",F147=""),0,IF(N147&lt;&gt;"",MAX(0,N147-M147),MAX(0,TODAY()-IF(M147="",C147+IF(E147="Critical",Admin!$C$11,Admin!$C$10),M147)))))</f>
        <v/>
      </c>
      <c r="P147" s="5">
        <f>IF(D147="","",COUNTIFS($D$5:$D$250,D147,$I$5:$I$250,I147,$G$5:$G$250,G147))</f>
        <v/>
      </c>
      <c r="Q147" s="5">
        <f>IF(P147="","",IF(P147&gt;=3,"REPEAT ≥3",IF(P147=2,"REPEAT","Unique")))</f>
        <v/>
      </c>
      <c r="R147" s="7" t="n"/>
      <c r="S147" s="7" t="n"/>
      <c r="T147" s="5">
        <f>IF(E147="","",IF(E147="Critical",25,IF(E147="High",16,IF(E147="Medium",9,4))))</f>
        <v/>
      </c>
    </row>
    <row r="148">
      <c r="B148" s="7" t="n"/>
      <c r="C148" s="42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42" t="n"/>
      <c r="N148" s="42" t="n"/>
      <c r="O148" s="5">
        <f>IF(C148="","",IF(OR(F148="Closed",F148=""),0,IF(N148&lt;&gt;"",MAX(0,N148-M148),MAX(0,TODAY()-IF(M148="",C148+IF(E148="Critical",Admin!$C$11,Admin!$C$10),M148)))))</f>
        <v/>
      </c>
      <c r="P148" s="5">
        <f>IF(D148="","",COUNTIFS($D$5:$D$250,D148,$I$5:$I$250,I148,$G$5:$G$250,G148))</f>
        <v/>
      </c>
      <c r="Q148" s="5">
        <f>IF(P148="","",IF(P148&gt;=3,"REPEAT ≥3",IF(P148=2,"REPEAT","Unique")))</f>
        <v/>
      </c>
      <c r="R148" s="7" t="n"/>
      <c r="S148" s="7" t="n"/>
      <c r="T148" s="5">
        <f>IF(E148="","",IF(E148="Critical",25,IF(E148="High",16,IF(E148="Medium",9,4))))</f>
        <v/>
      </c>
    </row>
    <row r="149">
      <c r="B149" s="7" t="n"/>
      <c r="C149" s="42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42" t="n"/>
      <c r="N149" s="42" t="n"/>
      <c r="O149" s="5">
        <f>IF(C149="","",IF(OR(F149="Closed",F149=""),0,IF(N149&lt;&gt;"",MAX(0,N149-M149),MAX(0,TODAY()-IF(M149="",C149+IF(E149="Critical",Admin!$C$11,Admin!$C$10),M149)))))</f>
        <v/>
      </c>
      <c r="P149" s="5">
        <f>IF(D149="","",COUNTIFS($D$5:$D$250,D149,$I$5:$I$250,I149,$G$5:$G$250,G149))</f>
        <v/>
      </c>
      <c r="Q149" s="5">
        <f>IF(P149="","",IF(P149&gt;=3,"REPEAT ≥3",IF(P149=2,"REPEAT","Unique")))</f>
        <v/>
      </c>
      <c r="R149" s="7" t="n"/>
      <c r="S149" s="7" t="n"/>
      <c r="T149" s="5">
        <f>IF(E149="","",IF(E149="Critical",25,IF(E149="High",16,IF(E149="Medium",9,4))))</f>
        <v/>
      </c>
    </row>
    <row r="150">
      <c r="B150" s="7" t="n"/>
      <c r="C150" s="42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42" t="n"/>
      <c r="N150" s="42" t="n"/>
      <c r="O150" s="5">
        <f>IF(C150="","",IF(OR(F150="Closed",F150=""),0,IF(N150&lt;&gt;"",MAX(0,N150-M150),MAX(0,TODAY()-IF(M150="",C150+IF(E150="Critical",Admin!$C$11,Admin!$C$10),M150)))))</f>
        <v/>
      </c>
      <c r="P150" s="5">
        <f>IF(D150="","",COUNTIFS($D$5:$D$250,D150,$I$5:$I$250,I150,$G$5:$G$250,G150))</f>
        <v/>
      </c>
      <c r="Q150" s="5">
        <f>IF(P150="","",IF(P150&gt;=3,"REPEAT ≥3",IF(P150=2,"REPEAT","Unique")))</f>
        <v/>
      </c>
      <c r="R150" s="7" t="n"/>
      <c r="S150" s="7" t="n"/>
      <c r="T150" s="5">
        <f>IF(E150="","",IF(E150="Critical",25,IF(E150="High",16,IF(E150="Medium",9,4))))</f>
        <v/>
      </c>
    </row>
    <row r="151">
      <c r="B151" s="7" t="n"/>
      <c r="C151" s="42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42" t="n"/>
      <c r="N151" s="42" t="n"/>
      <c r="O151" s="5">
        <f>IF(C151="","",IF(OR(F151="Closed",F151=""),0,IF(N151&lt;&gt;"",MAX(0,N151-M151),MAX(0,TODAY()-IF(M151="",C151+IF(E151="Critical",Admin!$C$11,Admin!$C$10),M151)))))</f>
        <v/>
      </c>
      <c r="P151" s="5">
        <f>IF(D151="","",COUNTIFS($D$5:$D$250,D151,$I$5:$I$250,I151,$G$5:$G$250,G151))</f>
        <v/>
      </c>
      <c r="Q151" s="5">
        <f>IF(P151="","",IF(P151&gt;=3,"REPEAT ≥3",IF(P151=2,"REPEAT","Unique")))</f>
        <v/>
      </c>
      <c r="R151" s="7" t="n"/>
      <c r="S151" s="7" t="n"/>
      <c r="T151" s="5">
        <f>IF(E151="","",IF(E151="Critical",25,IF(E151="High",16,IF(E151="Medium",9,4))))</f>
        <v/>
      </c>
    </row>
    <row r="152">
      <c r="B152" s="7" t="n"/>
      <c r="C152" s="42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42" t="n"/>
      <c r="N152" s="42" t="n"/>
      <c r="O152" s="5">
        <f>IF(C152="","",IF(OR(F152="Closed",F152=""),0,IF(N152&lt;&gt;"",MAX(0,N152-M152),MAX(0,TODAY()-IF(M152="",C152+IF(E152="Critical",Admin!$C$11,Admin!$C$10),M152)))))</f>
        <v/>
      </c>
      <c r="P152" s="5">
        <f>IF(D152="","",COUNTIFS($D$5:$D$250,D152,$I$5:$I$250,I152,$G$5:$G$250,G152))</f>
        <v/>
      </c>
      <c r="Q152" s="5">
        <f>IF(P152="","",IF(P152&gt;=3,"REPEAT ≥3",IF(P152=2,"REPEAT","Unique")))</f>
        <v/>
      </c>
      <c r="R152" s="7" t="n"/>
      <c r="S152" s="7" t="n"/>
      <c r="T152" s="5">
        <f>IF(E152="","",IF(E152="Critical",25,IF(E152="High",16,IF(E152="Medium",9,4))))</f>
        <v/>
      </c>
    </row>
    <row r="153">
      <c r="B153" s="7" t="n"/>
      <c r="C153" s="42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42" t="n"/>
      <c r="N153" s="42" t="n"/>
      <c r="O153" s="5">
        <f>IF(C153="","",IF(OR(F153="Closed",F153=""),0,IF(N153&lt;&gt;"",MAX(0,N153-M153),MAX(0,TODAY()-IF(M153="",C153+IF(E153="Critical",Admin!$C$11,Admin!$C$10),M153)))))</f>
        <v/>
      </c>
      <c r="P153" s="5">
        <f>IF(D153="","",COUNTIFS($D$5:$D$250,D153,$I$5:$I$250,I153,$G$5:$G$250,G153))</f>
        <v/>
      </c>
      <c r="Q153" s="5">
        <f>IF(P153="","",IF(P153&gt;=3,"REPEAT ≥3",IF(P153=2,"REPEAT","Unique")))</f>
        <v/>
      </c>
      <c r="R153" s="7" t="n"/>
      <c r="S153" s="7" t="n"/>
      <c r="T153" s="5">
        <f>IF(E153="","",IF(E153="Critical",25,IF(E153="High",16,IF(E153="Medium",9,4))))</f>
        <v/>
      </c>
    </row>
    <row r="154">
      <c r="B154" s="7" t="n"/>
      <c r="C154" s="42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42" t="n"/>
      <c r="N154" s="42" t="n"/>
      <c r="O154" s="5">
        <f>IF(C154="","",IF(OR(F154="Closed",F154=""),0,IF(N154&lt;&gt;"",MAX(0,N154-M154),MAX(0,TODAY()-IF(M154="",C154+IF(E154="Critical",Admin!$C$11,Admin!$C$10),M154)))))</f>
        <v/>
      </c>
      <c r="P154" s="5">
        <f>IF(D154="","",COUNTIFS($D$5:$D$250,D154,$I$5:$I$250,I154,$G$5:$G$250,G154))</f>
        <v/>
      </c>
      <c r="Q154" s="5">
        <f>IF(P154="","",IF(P154&gt;=3,"REPEAT ≥3",IF(P154=2,"REPEAT","Unique")))</f>
        <v/>
      </c>
      <c r="R154" s="7" t="n"/>
      <c r="S154" s="7" t="n"/>
      <c r="T154" s="5">
        <f>IF(E154="","",IF(E154="Critical",25,IF(E154="High",16,IF(E154="Medium",9,4))))</f>
        <v/>
      </c>
    </row>
    <row r="155">
      <c r="B155" s="7" t="n"/>
      <c r="C155" s="42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42" t="n"/>
      <c r="N155" s="42" t="n"/>
      <c r="O155" s="5">
        <f>IF(C155="","",IF(OR(F155="Closed",F155=""),0,IF(N155&lt;&gt;"",MAX(0,N155-M155),MAX(0,TODAY()-IF(M155="",C155+IF(E155="Critical",Admin!$C$11,Admin!$C$10),M155)))))</f>
        <v/>
      </c>
      <c r="P155" s="5">
        <f>IF(D155="","",COUNTIFS($D$5:$D$250,D155,$I$5:$I$250,I155,$G$5:$G$250,G155))</f>
        <v/>
      </c>
      <c r="Q155" s="5">
        <f>IF(P155="","",IF(P155&gt;=3,"REPEAT ≥3",IF(P155=2,"REPEAT","Unique")))</f>
        <v/>
      </c>
      <c r="R155" s="7" t="n"/>
      <c r="S155" s="7" t="n"/>
      <c r="T155" s="5">
        <f>IF(E155="","",IF(E155="Critical",25,IF(E155="High",16,IF(E155="Medium",9,4))))</f>
        <v/>
      </c>
    </row>
    <row r="156">
      <c r="B156" s="7" t="n"/>
      <c r="C156" s="42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42" t="n"/>
      <c r="N156" s="42" t="n"/>
      <c r="O156" s="5">
        <f>IF(C156="","",IF(OR(F156="Closed",F156=""),0,IF(N156&lt;&gt;"",MAX(0,N156-M156),MAX(0,TODAY()-IF(M156="",C156+IF(E156="Critical",Admin!$C$11,Admin!$C$10),M156)))))</f>
        <v/>
      </c>
      <c r="P156" s="5">
        <f>IF(D156="","",COUNTIFS($D$5:$D$250,D156,$I$5:$I$250,I156,$G$5:$G$250,G156))</f>
        <v/>
      </c>
      <c r="Q156" s="5">
        <f>IF(P156="","",IF(P156&gt;=3,"REPEAT ≥3",IF(P156=2,"REPEAT","Unique")))</f>
        <v/>
      </c>
      <c r="R156" s="7" t="n"/>
      <c r="S156" s="7" t="n"/>
      <c r="T156" s="5">
        <f>IF(E156="","",IF(E156="Critical",25,IF(E156="High",16,IF(E156="Medium",9,4))))</f>
        <v/>
      </c>
    </row>
    <row r="157">
      <c r="B157" s="7" t="n"/>
      <c r="C157" s="42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42" t="n"/>
      <c r="N157" s="42" t="n"/>
      <c r="O157" s="5">
        <f>IF(C157="","",IF(OR(F157="Closed",F157=""),0,IF(N157&lt;&gt;"",MAX(0,N157-M157),MAX(0,TODAY()-IF(M157="",C157+IF(E157="Critical",Admin!$C$11,Admin!$C$10),M157)))))</f>
        <v/>
      </c>
      <c r="P157" s="5">
        <f>IF(D157="","",COUNTIFS($D$5:$D$250,D157,$I$5:$I$250,I157,$G$5:$G$250,G157))</f>
        <v/>
      </c>
      <c r="Q157" s="5">
        <f>IF(P157="","",IF(P157&gt;=3,"REPEAT ≥3",IF(P157=2,"REPEAT","Unique")))</f>
        <v/>
      </c>
      <c r="R157" s="7" t="n"/>
      <c r="S157" s="7" t="n"/>
      <c r="T157" s="5">
        <f>IF(E157="","",IF(E157="Critical",25,IF(E157="High",16,IF(E157="Medium",9,4))))</f>
        <v/>
      </c>
    </row>
    <row r="158">
      <c r="B158" s="7" t="n"/>
      <c r="C158" s="42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42" t="n"/>
      <c r="N158" s="42" t="n"/>
      <c r="O158" s="5">
        <f>IF(C158="","",IF(OR(F158="Closed",F158=""),0,IF(N158&lt;&gt;"",MAX(0,N158-M158),MAX(0,TODAY()-IF(M158="",C158+IF(E158="Critical",Admin!$C$11,Admin!$C$10),M158)))))</f>
        <v/>
      </c>
      <c r="P158" s="5">
        <f>IF(D158="","",COUNTIFS($D$5:$D$250,D158,$I$5:$I$250,I158,$G$5:$G$250,G158))</f>
        <v/>
      </c>
      <c r="Q158" s="5">
        <f>IF(P158="","",IF(P158&gt;=3,"REPEAT ≥3",IF(P158=2,"REPEAT","Unique")))</f>
        <v/>
      </c>
      <c r="R158" s="7" t="n"/>
      <c r="S158" s="7" t="n"/>
      <c r="T158" s="5">
        <f>IF(E158="","",IF(E158="Critical",25,IF(E158="High",16,IF(E158="Medium",9,4))))</f>
        <v/>
      </c>
    </row>
    <row r="159">
      <c r="B159" s="7" t="n"/>
      <c r="C159" s="42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42" t="n"/>
      <c r="N159" s="42" t="n"/>
      <c r="O159" s="5">
        <f>IF(C159="","",IF(OR(F159="Closed",F159=""),0,IF(N159&lt;&gt;"",MAX(0,N159-M159),MAX(0,TODAY()-IF(M159="",C159+IF(E159="Critical",Admin!$C$11,Admin!$C$10),M159)))))</f>
        <v/>
      </c>
      <c r="P159" s="5">
        <f>IF(D159="","",COUNTIFS($D$5:$D$250,D159,$I$5:$I$250,I159,$G$5:$G$250,G159))</f>
        <v/>
      </c>
      <c r="Q159" s="5">
        <f>IF(P159="","",IF(P159&gt;=3,"REPEAT ≥3",IF(P159=2,"REPEAT","Unique")))</f>
        <v/>
      </c>
      <c r="R159" s="7" t="n"/>
      <c r="S159" s="7" t="n"/>
      <c r="T159" s="5">
        <f>IF(E159="","",IF(E159="Critical",25,IF(E159="High",16,IF(E159="Medium",9,4))))</f>
        <v/>
      </c>
    </row>
    <row r="160">
      <c r="B160" s="7" t="n"/>
      <c r="C160" s="42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42" t="n"/>
      <c r="N160" s="42" t="n"/>
      <c r="O160" s="5">
        <f>IF(C160="","",IF(OR(F160="Closed",F160=""),0,IF(N160&lt;&gt;"",MAX(0,N160-M160),MAX(0,TODAY()-IF(M160="",C160+IF(E160="Critical",Admin!$C$11,Admin!$C$10),M160)))))</f>
        <v/>
      </c>
      <c r="P160" s="5">
        <f>IF(D160="","",COUNTIFS($D$5:$D$250,D160,$I$5:$I$250,I160,$G$5:$G$250,G160))</f>
        <v/>
      </c>
      <c r="Q160" s="5">
        <f>IF(P160="","",IF(P160&gt;=3,"REPEAT ≥3",IF(P160=2,"REPEAT","Unique")))</f>
        <v/>
      </c>
      <c r="R160" s="7" t="n"/>
      <c r="S160" s="7" t="n"/>
      <c r="T160" s="5">
        <f>IF(E160="","",IF(E160="Critical",25,IF(E160="High",16,IF(E160="Medium",9,4))))</f>
        <v/>
      </c>
    </row>
    <row r="161">
      <c r="B161" s="7" t="n"/>
      <c r="C161" s="42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42" t="n"/>
      <c r="N161" s="42" t="n"/>
      <c r="O161" s="5">
        <f>IF(C161="","",IF(OR(F161="Closed",F161=""),0,IF(N161&lt;&gt;"",MAX(0,N161-M161),MAX(0,TODAY()-IF(M161="",C161+IF(E161="Critical",Admin!$C$11,Admin!$C$10),M161)))))</f>
        <v/>
      </c>
      <c r="P161" s="5">
        <f>IF(D161="","",COUNTIFS($D$5:$D$250,D161,$I$5:$I$250,I161,$G$5:$G$250,G161))</f>
        <v/>
      </c>
      <c r="Q161" s="5">
        <f>IF(P161="","",IF(P161&gt;=3,"REPEAT ≥3",IF(P161=2,"REPEAT","Unique")))</f>
        <v/>
      </c>
      <c r="R161" s="7" t="n"/>
      <c r="S161" s="7" t="n"/>
      <c r="T161" s="5">
        <f>IF(E161="","",IF(E161="Critical",25,IF(E161="High",16,IF(E161="Medium",9,4))))</f>
        <v/>
      </c>
    </row>
    <row r="162">
      <c r="B162" s="7" t="n"/>
      <c r="C162" s="42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42" t="n"/>
      <c r="N162" s="42" t="n"/>
      <c r="O162" s="5">
        <f>IF(C162="","",IF(OR(F162="Closed",F162=""),0,IF(N162&lt;&gt;"",MAX(0,N162-M162),MAX(0,TODAY()-IF(M162="",C162+IF(E162="Critical",Admin!$C$11,Admin!$C$10),M162)))))</f>
        <v/>
      </c>
      <c r="P162" s="5">
        <f>IF(D162="","",COUNTIFS($D$5:$D$250,D162,$I$5:$I$250,I162,$G$5:$G$250,G162))</f>
        <v/>
      </c>
      <c r="Q162" s="5">
        <f>IF(P162="","",IF(P162&gt;=3,"REPEAT ≥3",IF(P162=2,"REPEAT","Unique")))</f>
        <v/>
      </c>
      <c r="R162" s="7" t="n"/>
      <c r="S162" s="7" t="n"/>
      <c r="T162" s="5">
        <f>IF(E162="","",IF(E162="Critical",25,IF(E162="High",16,IF(E162="Medium",9,4))))</f>
        <v/>
      </c>
    </row>
    <row r="163">
      <c r="B163" s="7" t="n"/>
      <c r="C163" s="42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42" t="n"/>
      <c r="N163" s="42" t="n"/>
      <c r="O163" s="5">
        <f>IF(C163="","",IF(OR(F163="Closed",F163=""),0,IF(N163&lt;&gt;"",MAX(0,N163-M163),MAX(0,TODAY()-IF(M163="",C163+IF(E163="Critical",Admin!$C$11,Admin!$C$10),M163)))))</f>
        <v/>
      </c>
      <c r="P163" s="5">
        <f>IF(D163="","",COUNTIFS($D$5:$D$250,D163,$I$5:$I$250,I163,$G$5:$G$250,G163))</f>
        <v/>
      </c>
      <c r="Q163" s="5">
        <f>IF(P163="","",IF(P163&gt;=3,"REPEAT ≥3",IF(P163=2,"REPEAT","Unique")))</f>
        <v/>
      </c>
      <c r="R163" s="7" t="n"/>
      <c r="S163" s="7" t="n"/>
      <c r="T163" s="5">
        <f>IF(E163="","",IF(E163="Critical",25,IF(E163="High",16,IF(E163="Medium",9,4))))</f>
        <v/>
      </c>
    </row>
    <row r="164">
      <c r="B164" s="7" t="n"/>
      <c r="C164" s="42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42" t="n"/>
      <c r="N164" s="42" t="n"/>
      <c r="O164" s="5">
        <f>IF(C164="","",IF(OR(F164="Closed",F164=""),0,IF(N164&lt;&gt;"",MAX(0,N164-M164),MAX(0,TODAY()-IF(M164="",C164+IF(E164="Critical",Admin!$C$11,Admin!$C$10),M164)))))</f>
        <v/>
      </c>
      <c r="P164" s="5">
        <f>IF(D164="","",COUNTIFS($D$5:$D$250,D164,$I$5:$I$250,I164,$G$5:$G$250,G164))</f>
        <v/>
      </c>
      <c r="Q164" s="5">
        <f>IF(P164="","",IF(P164&gt;=3,"REPEAT ≥3",IF(P164=2,"REPEAT","Unique")))</f>
        <v/>
      </c>
      <c r="R164" s="7" t="n"/>
      <c r="S164" s="7" t="n"/>
      <c r="T164" s="5">
        <f>IF(E164="","",IF(E164="Critical",25,IF(E164="High",16,IF(E164="Medium",9,4))))</f>
        <v/>
      </c>
    </row>
    <row r="165">
      <c r="B165" s="7" t="n"/>
      <c r="C165" s="42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42" t="n"/>
      <c r="N165" s="42" t="n"/>
      <c r="O165" s="5">
        <f>IF(C165="","",IF(OR(F165="Closed",F165=""),0,IF(N165&lt;&gt;"",MAX(0,N165-M165),MAX(0,TODAY()-IF(M165="",C165+IF(E165="Critical",Admin!$C$11,Admin!$C$10),M165)))))</f>
        <v/>
      </c>
      <c r="P165" s="5">
        <f>IF(D165="","",COUNTIFS($D$5:$D$250,D165,$I$5:$I$250,I165,$G$5:$G$250,G165))</f>
        <v/>
      </c>
      <c r="Q165" s="5">
        <f>IF(P165="","",IF(P165&gt;=3,"REPEAT ≥3",IF(P165=2,"REPEAT","Unique")))</f>
        <v/>
      </c>
      <c r="R165" s="7" t="n"/>
      <c r="S165" s="7" t="n"/>
      <c r="T165" s="5">
        <f>IF(E165="","",IF(E165="Critical",25,IF(E165="High",16,IF(E165="Medium",9,4))))</f>
        <v/>
      </c>
    </row>
    <row r="166">
      <c r="B166" s="7" t="n"/>
      <c r="C166" s="42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42" t="n"/>
      <c r="N166" s="42" t="n"/>
      <c r="O166" s="5">
        <f>IF(C166="","",IF(OR(F166="Closed",F166=""),0,IF(N166&lt;&gt;"",MAX(0,N166-M166),MAX(0,TODAY()-IF(M166="",C166+IF(E166="Critical",Admin!$C$11,Admin!$C$10),M166)))))</f>
        <v/>
      </c>
      <c r="P166" s="5">
        <f>IF(D166="","",COUNTIFS($D$5:$D$250,D166,$I$5:$I$250,I166,$G$5:$G$250,G166))</f>
        <v/>
      </c>
      <c r="Q166" s="5">
        <f>IF(P166="","",IF(P166&gt;=3,"REPEAT ≥3",IF(P166=2,"REPEAT","Unique")))</f>
        <v/>
      </c>
      <c r="R166" s="7" t="n"/>
      <c r="S166" s="7" t="n"/>
      <c r="T166" s="5">
        <f>IF(E166="","",IF(E166="Critical",25,IF(E166="High",16,IF(E166="Medium",9,4))))</f>
        <v/>
      </c>
    </row>
    <row r="167">
      <c r="B167" s="7" t="n"/>
      <c r="C167" s="42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42" t="n"/>
      <c r="N167" s="42" t="n"/>
      <c r="O167" s="5">
        <f>IF(C167="","",IF(OR(F167="Closed",F167=""),0,IF(N167&lt;&gt;"",MAX(0,N167-M167),MAX(0,TODAY()-IF(M167="",C167+IF(E167="Critical",Admin!$C$11,Admin!$C$10),M167)))))</f>
        <v/>
      </c>
      <c r="P167" s="5">
        <f>IF(D167="","",COUNTIFS($D$5:$D$250,D167,$I$5:$I$250,I167,$G$5:$G$250,G167))</f>
        <v/>
      </c>
      <c r="Q167" s="5">
        <f>IF(P167="","",IF(P167&gt;=3,"REPEAT ≥3",IF(P167=2,"REPEAT","Unique")))</f>
        <v/>
      </c>
      <c r="R167" s="7" t="n"/>
      <c r="S167" s="7" t="n"/>
      <c r="T167" s="5">
        <f>IF(E167="","",IF(E167="Critical",25,IF(E167="High",16,IF(E167="Medium",9,4))))</f>
        <v/>
      </c>
    </row>
    <row r="168">
      <c r="B168" s="7" t="n"/>
      <c r="C168" s="42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42" t="n"/>
      <c r="N168" s="42" t="n"/>
      <c r="O168" s="5">
        <f>IF(C168="","",IF(OR(F168="Closed",F168=""),0,IF(N168&lt;&gt;"",MAX(0,N168-M168),MAX(0,TODAY()-IF(M168="",C168+IF(E168="Critical",Admin!$C$11,Admin!$C$10),M168)))))</f>
        <v/>
      </c>
      <c r="P168" s="5">
        <f>IF(D168="","",COUNTIFS($D$5:$D$250,D168,$I$5:$I$250,I168,$G$5:$G$250,G168))</f>
        <v/>
      </c>
      <c r="Q168" s="5">
        <f>IF(P168="","",IF(P168&gt;=3,"REPEAT ≥3",IF(P168=2,"REPEAT","Unique")))</f>
        <v/>
      </c>
      <c r="R168" s="7" t="n"/>
      <c r="S168" s="7" t="n"/>
      <c r="T168" s="5">
        <f>IF(E168="","",IF(E168="Critical",25,IF(E168="High",16,IF(E168="Medium",9,4))))</f>
        <v/>
      </c>
    </row>
    <row r="169">
      <c r="B169" s="7" t="n"/>
      <c r="C169" s="42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42" t="n"/>
      <c r="N169" s="42" t="n"/>
      <c r="O169" s="5">
        <f>IF(C169="","",IF(OR(F169="Closed",F169=""),0,IF(N169&lt;&gt;"",MAX(0,N169-M169),MAX(0,TODAY()-IF(M169="",C169+IF(E169="Critical",Admin!$C$11,Admin!$C$10),M169)))))</f>
        <v/>
      </c>
      <c r="P169" s="5">
        <f>IF(D169="","",COUNTIFS($D$5:$D$250,D169,$I$5:$I$250,I169,$G$5:$G$250,G169))</f>
        <v/>
      </c>
      <c r="Q169" s="5">
        <f>IF(P169="","",IF(P169&gt;=3,"REPEAT ≥3",IF(P169=2,"REPEAT","Unique")))</f>
        <v/>
      </c>
      <c r="R169" s="7" t="n"/>
      <c r="S169" s="7" t="n"/>
      <c r="T169" s="5">
        <f>IF(E169="","",IF(E169="Critical",25,IF(E169="High",16,IF(E169="Medium",9,4))))</f>
        <v/>
      </c>
    </row>
    <row r="170">
      <c r="B170" s="7" t="n"/>
      <c r="C170" s="42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42" t="n"/>
      <c r="N170" s="42" t="n"/>
      <c r="O170" s="5">
        <f>IF(C170="","",IF(OR(F170="Closed",F170=""),0,IF(N170&lt;&gt;"",MAX(0,N170-M170),MAX(0,TODAY()-IF(M170="",C170+IF(E170="Critical",Admin!$C$11,Admin!$C$10),M170)))))</f>
        <v/>
      </c>
      <c r="P170" s="5">
        <f>IF(D170="","",COUNTIFS($D$5:$D$250,D170,$I$5:$I$250,I170,$G$5:$G$250,G170))</f>
        <v/>
      </c>
      <c r="Q170" s="5">
        <f>IF(P170="","",IF(P170&gt;=3,"REPEAT ≥3",IF(P170=2,"REPEAT","Unique")))</f>
        <v/>
      </c>
      <c r="R170" s="7" t="n"/>
      <c r="S170" s="7" t="n"/>
      <c r="T170" s="5">
        <f>IF(E170="","",IF(E170="Critical",25,IF(E170="High",16,IF(E170="Medium",9,4))))</f>
        <v/>
      </c>
    </row>
    <row r="171">
      <c r="B171" s="7" t="n"/>
      <c r="C171" s="42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42" t="n"/>
      <c r="N171" s="42" t="n"/>
      <c r="O171" s="5">
        <f>IF(C171="","",IF(OR(F171="Closed",F171=""),0,IF(N171&lt;&gt;"",MAX(0,N171-M171),MAX(0,TODAY()-IF(M171="",C171+IF(E171="Critical",Admin!$C$11,Admin!$C$10),M171)))))</f>
        <v/>
      </c>
      <c r="P171" s="5">
        <f>IF(D171="","",COUNTIFS($D$5:$D$250,D171,$I$5:$I$250,I171,$G$5:$G$250,G171))</f>
        <v/>
      </c>
      <c r="Q171" s="5">
        <f>IF(P171="","",IF(P171&gt;=3,"REPEAT ≥3",IF(P171=2,"REPEAT","Unique")))</f>
        <v/>
      </c>
      <c r="R171" s="7" t="n"/>
      <c r="S171" s="7" t="n"/>
      <c r="T171" s="5">
        <f>IF(E171="","",IF(E171="Critical",25,IF(E171="High",16,IF(E171="Medium",9,4))))</f>
        <v/>
      </c>
    </row>
    <row r="172">
      <c r="B172" s="7" t="n"/>
      <c r="C172" s="42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42" t="n"/>
      <c r="N172" s="42" t="n"/>
      <c r="O172" s="5">
        <f>IF(C172="","",IF(OR(F172="Closed",F172=""),0,IF(N172&lt;&gt;"",MAX(0,N172-M172),MAX(0,TODAY()-IF(M172="",C172+IF(E172="Critical",Admin!$C$11,Admin!$C$10),M172)))))</f>
        <v/>
      </c>
      <c r="P172" s="5">
        <f>IF(D172="","",COUNTIFS($D$5:$D$250,D172,$I$5:$I$250,I172,$G$5:$G$250,G172))</f>
        <v/>
      </c>
      <c r="Q172" s="5">
        <f>IF(P172="","",IF(P172&gt;=3,"REPEAT ≥3",IF(P172=2,"REPEAT","Unique")))</f>
        <v/>
      </c>
      <c r="R172" s="7" t="n"/>
      <c r="S172" s="7" t="n"/>
      <c r="T172" s="5">
        <f>IF(E172="","",IF(E172="Critical",25,IF(E172="High",16,IF(E172="Medium",9,4))))</f>
        <v/>
      </c>
    </row>
    <row r="173">
      <c r="B173" s="7" t="n"/>
      <c r="C173" s="42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42" t="n"/>
      <c r="N173" s="42" t="n"/>
      <c r="O173" s="5">
        <f>IF(C173="","",IF(OR(F173="Closed",F173=""),0,IF(N173&lt;&gt;"",MAX(0,N173-M173),MAX(0,TODAY()-IF(M173="",C173+IF(E173="Critical",Admin!$C$11,Admin!$C$10),M173)))))</f>
        <v/>
      </c>
      <c r="P173" s="5">
        <f>IF(D173="","",COUNTIFS($D$5:$D$250,D173,$I$5:$I$250,I173,$G$5:$G$250,G173))</f>
        <v/>
      </c>
      <c r="Q173" s="5">
        <f>IF(P173="","",IF(P173&gt;=3,"REPEAT ≥3",IF(P173=2,"REPEAT","Unique")))</f>
        <v/>
      </c>
      <c r="R173" s="7" t="n"/>
      <c r="S173" s="7" t="n"/>
      <c r="T173" s="5">
        <f>IF(E173="","",IF(E173="Critical",25,IF(E173="High",16,IF(E173="Medium",9,4))))</f>
        <v/>
      </c>
    </row>
    <row r="174">
      <c r="B174" s="7" t="n"/>
      <c r="C174" s="42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42" t="n"/>
      <c r="N174" s="42" t="n"/>
      <c r="O174" s="5">
        <f>IF(C174="","",IF(OR(F174="Closed",F174=""),0,IF(N174&lt;&gt;"",MAX(0,N174-M174),MAX(0,TODAY()-IF(M174="",C174+IF(E174="Critical",Admin!$C$11,Admin!$C$10),M174)))))</f>
        <v/>
      </c>
      <c r="P174" s="5">
        <f>IF(D174="","",COUNTIFS($D$5:$D$250,D174,$I$5:$I$250,I174,$G$5:$G$250,G174))</f>
        <v/>
      </c>
      <c r="Q174" s="5">
        <f>IF(P174="","",IF(P174&gt;=3,"REPEAT ≥3",IF(P174=2,"REPEAT","Unique")))</f>
        <v/>
      </c>
      <c r="R174" s="7" t="n"/>
      <c r="S174" s="7" t="n"/>
      <c r="T174" s="5">
        <f>IF(E174="","",IF(E174="Critical",25,IF(E174="High",16,IF(E174="Medium",9,4))))</f>
        <v/>
      </c>
    </row>
    <row r="175">
      <c r="B175" s="7" t="n"/>
      <c r="C175" s="42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42" t="n"/>
      <c r="N175" s="42" t="n"/>
      <c r="O175" s="5">
        <f>IF(C175="","",IF(OR(F175="Closed",F175=""),0,IF(N175&lt;&gt;"",MAX(0,N175-M175),MAX(0,TODAY()-IF(M175="",C175+IF(E175="Critical",Admin!$C$11,Admin!$C$10),M175)))))</f>
        <v/>
      </c>
      <c r="P175" s="5">
        <f>IF(D175="","",COUNTIFS($D$5:$D$250,D175,$I$5:$I$250,I175,$G$5:$G$250,G175))</f>
        <v/>
      </c>
      <c r="Q175" s="5">
        <f>IF(P175="","",IF(P175&gt;=3,"REPEAT ≥3",IF(P175=2,"REPEAT","Unique")))</f>
        <v/>
      </c>
      <c r="R175" s="7" t="n"/>
      <c r="S175" s="7" t="n"/>
      <c r="T175" s="5">
        <f>IF(E175="","",IF(E175="Critical",25,IF(E175="High",16,IF(E175="Medium",9,4))))</f>
        <v/>
      </c>
    </row>
    <row r="176">
      <c r="B176" s="7" t="n"/>
      <c r="C176" s="42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42" t="n"/>
      <c r="N176" s="42" t="n"/>
      <c r="O176" s="5">
        <f>IF(C176="","",IF(OR(F176="Closed",F176=""),0,IF(N176&lt;&gt;"",MAX(0,N176-M176),MAX(0,TODAY()-IF(M176="",C176+IF(E176="Critical",Admin!$C$11,Admin!$C$10),M176)))))</f>
        <v/>
      </c>
      <c r="P176" s="5">
        <f>IF(D176="","",COUNTIFS($D$5:$D$250,D176,$I$5:$I$250,I176,$G$5:$G$250,G176))</f>
        <v/>
      </c>
      <c r="Q176" s="5">
        <f>IF(P176="","",IF(P176&gt;=3,"REPEAT ≥3",IF(P176=2,"REPEAT","Unique")))</f>
        <v/>
      </c>
      <c r="R176" s="7" t="n"/>
      <c r="S176" s="7" t="n"/>
      <c r="T176" s="5">
        <f>IF(E176="","",IF(E176="Critical",25,IF(E176="High",16,IF(E176="Medium",9,4))))</f>
        <v/>
      </c>
    </row>
    <row r="177">
      <c r="B177" s="7" t="n"/>
      <c r="C177" s="42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42" t="n"/>
      <c r="N177" s="42" t="n"/>
      <c r="O177" s="5">
        <f>IF(C177="","",IF(OR(F177="Closed",F177=""),0,IF(N177&lt;&gt;"",MAX(0,N177-M177),MAX(0,TODAY()-IF(M177="",C177+IF(E177="Critical",Admin!$C$11,Admin!$C$10),M177)))))</f>
        <v/>
      </c>
      <c r="P177" s="5">
        <f>IF(D177="","",COUNTIFS($D$5:$D$250,D177,$I$5:$I$250,I177,$G$5:$G$250,G177))</f>
        <v/>
      </c>
      <c r="Q177" s="5">
        <f>IF(P177="","",IF(P177&gt;=3,"REPEAT ≥3",IF(P177=2,"REPEAT","Unique")))</f>
        <v/>
      </c>
      <c r="R177" s="7" t="n"/>
      <c r="S177" s="7" t="n"/>
      <c r="T177" s="5">
        <f>IF(E177="","",IF(E177="Critical",25,IF(E177="High",16,IF(E177="Medium",9,4))))</f>
        <v/>
      </c>
    </row>
    <row r="178">
      <c r="B178" s="7" t="n"/>
      <c r="C178" s="42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42" t="n"/>
      <c r="N178" s="42" t="n"/>
      <c r="O178" s="5">
        <f>IF(C178="","",IF(OR(F178="Closed",F178=""),0,IF(N178&lt;&gt;"",MAX(0,N178-M178),MAX(0,TODAY()-IF(M178="",C178+IF(E178="Critical",Admin!$C$11,Admin!$C$10),M178)))))</f>
        <v/>
      </c>
      <c r="P178" s="5">
        <f>IF(D178="","",COUNTIFS($D$5:$D$250,D178,$I$5:$I$250,I178,$G$5:$G$250,G178))</f>
        <v/>
      </c>
      <c r="Q178" s="5">
        <f>IF(P178="","",IF(P178&gt;=3,"REPEAT ≥3",IF(P178=2,"REPEAT","Unique")))</f>
        <v/>
      </c>
      <c r="R178" s="7" t="n"/>
      <c r="S178" s="7" t="n"/>
      <c r="T178" s="5">
        <f>IF(E178="","",IF(E178="Critical",25,IF(E178="High",16,IF(E178="Medium",9,4))))</f>
        <v/>
      </c>
    </row>
    <row r="179">
      <c r="B179" s="7" t="n"/>
      <c r="C179" s="42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42" t="n"/>
      <c r="N179" s="42" t="n"/>
      <c r="O179" s="5">
        <f>IF(C179="","",IF(OR(F179="Closed",F179=""),0,IF(N179&lt;&gt;"",MAX(0,N179-M179),MAX(0,TODAY()-IF(M179="",C179+IF(E179="Critical",Admin!$C$11,Admin!$C$10),M179)))))</f>
        <v/>
      </c>
      <c r="P179" s="5">
        <f>IF(D179="","",COUNTIFS($D$5:$D$250,D179,$I$5:$I$250,I179,$G$5:$G$250,G179))</f>
        <v/>
      </c>
      <c r="Q179" s="5">
        <f>IF(P179="","",IF(P179&gt;=3,"REPEAT ≥3",IF(P179=2,"REPEAT","Unique")))</f>
        <v/>
      </c>
      <c r="R179" s="7" t="n"/>
      <c r="S179" s="7" t="n"/>
      <c r="T179" s="5">
        <f>IF(E179="","",IF(E179="Critical",25,IF(E179="High",16,IF(E179="Medium",9,4))))</f>
        <v/>
      </c>
    </row>
    <row r="180">
      <c r="B180" s="7" t="n"/>
      <c r="C180" s="42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42" t="n"/>
      <c r="N180" s="42" t="n"/>
      <c r="O180" s="5">
        <f>IF(C180="","",IF(OR(F180="Closed",F180=""),0,IF(N180&lt;&gt;"",MAX(0,N180-M180),MAX(0,TODAY()-IF(M180="",C180+IF(E180="Critical",Admin!$C$11,Admin!$C$10),M180)))))</f>
        <v/>
      </c>
      <c r="P180" s="5">
        <f>IF(D180="","",COUNTIFS($D$5:$D$250,D180,$I$5:$I$250,I180,$G$5:$G$250,G180))</f>
        <v/>
      </c>
      <c r="Q180" s="5">
        <f>IF(P180="","",IF(P180&gt;=3,"REPEAT ≥3",IF(P180=2,"REPEAT","Unique")))</f>
        <v/>
      </c>
      <c r="R180" s="7" t="n"/>
      <c r="S180" s="7" t="n"/>
      <c r="T180" s="5">
        <f>IF(E180="","",IF(E180="Critical",25,IF(E180="High",16,IF(E180="Medium",9,4))))</f>
        <v/>
      </c>
    </row>
    <row r="181">
      <c r="B181" s="7" t="n"/>
      <c r="C181" s="42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42" t="n"/>
      <c r="N181" s="42" t="n"/>
      <c r="O181" s="5">
        <f>IF(C181="","",IF(OR(F181="Closed",F181=""),0,IF(N181&lt;&gt;"",MAX(0,N181-M181),MAX(0,TODAY()-IF(M181="",C181+IF(E181="Critical",Admin!$C$11,Admin!$C$10),M181)))))</f>
        <v/>
      </c>
      <c r="P181" s="5">
        <f>IF(D181="","",COUNTIFS($D$5:$D$250,D181,$I$5:$I$250,I181,$G$5:$G$250,G181))</f>
        <v/>
      </c>
      <c r="Q181" s="5">
        <f>IF(P181="","",IF(P181&gt;=3,"REPEAT ≥3",IF(P181=2,"REPEAT","Unique")))</f>
        <v/>
      </c>
      <c r="R181" s="7" t="n"/>
      <c r="S181" s="7" t="n"/>
      <c r="T181" s="5">
        <f>IF(E181="","",IF(E181="Critical",25,IF(E181="High",16,IF(E181="Medium",9,4))))</f>
        <v/>
      </c>
    </row>
    <row r="182">
      <c r="B182" s="7" t="n"/>
      <c r="C182" s="42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42" t="n"/>
      <c r="N182" s="42" t="n"/>
      <c r="O182" s="5">
        <f>IF(C182="","",IF(OR(F182="Closed",F182=""),0,IF(N182&lt;&gt;"",MAX(0,N182-M182),MAX(0,TODAY()-IF(M182="",C182+IF(E182="Critical",Admin!$C$11,Admin!$C$10),M182)))))</f>
        <v/>
      </c>
      <c r="P182" s="5">
        <f>IF(D182="","",COUNTIFS($D$5:$D$250,D182,$I$5:$I$250,I182,$G$5:$G$250,G182))</f>
        <v/>
      </c>
      <c r="Q182" s="5">
        <f>IF(P182="","",IF(P182&gt;=3,"REPEAT ≥3",IF(P182=2,"REPEAT","Unique")))</f>
        <v/>
      </c>
      <c r="R182" s="7" t="n"/>
      <c r="S182" s="7" t="n"/>
      <c r="T182" s="5">
        <f>IF(E182="","",IF(E182="Critical",25,IF(E182="High",16,IF(E182="Medium",9,4))))</f>
        <v/>
      </c>
    </row>
    <row r="183">
      <c r="B183" s="7" t="n"/>
      <c r="C183" s="42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42" t="n"/>
      <c r="N183" s="42" t="n"/>
      <c r="O183" s="5">
        <f>IF(C183="","",IF(OR(F183="Closed",F183=""),0,IF(N183&lt;&gt;"",MAX(0,N183-M183),MAX(0,TODAY()-IF(M183="",C183+IF(E183="Critical",Admin!$C$11,Admin!$C$10),M183)))))</f>
        <v/>
      </c>
      <c r="P183" s="5">
        <f>IF(D183="","",COUNTIFS($D$5:$D$250,D183,$I$5:$I$250,I183,$G$5:$G$250,G183))</f>
        <v/>
      </c>
      <c r="Q183" s="5">
        <f>IF(P183="","",IF(P183&gt;=3,"REPEAT ≥3",IF(P183=2,"REPEAT","Unique")))</f>
        <v/>
      </c>
      <c r="R183" s="7" t="n"/>
      <c r="S183" s="7" t="n"/>
      <c r="T183" s="5">
        <f>IF(E183="","",IF(E183="Critical",25,IF(E183="High",16,IF(E183="Medium",9,4))))</f>
        <v/>
      </c>
    </row>
    <row r="184">
      <c r="B184" s="7" t="n"/>
      <c r="C184" s="42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42" t="n"/>
      <c r="N184" s="42" t="n"/>
      <c r="O184" s="5">
        <f>IF(C184="","",IF(OR(F184="Closed",F184=""),0,IF(N184&lt;&gt;"",MAX(0,N184-M184),MAX(0,TODAY()-IF(M184="",C184+IF(E184="Critical",Admin!$C$11,Admin!$C$10),M184)))))</f>
        <v/>
      </c>
      <c r="P184" s="5">
        <f>IF(D184="","",COUNTIFS($D$5:$D$250,D184,$I$5:$I$250,I184,$G$5:$G$250,G184))</f>
        <v/>
      </c>
      <c r="Q184" s="5">
        <f>IF(P184="","",IF(P184&gt;=3,"REPEAT ≥3",IF(P184=2,"REPEAT","Unique")))</f>
        <v/>
      </c>
      <c r="R184" s="7" t="n"/>
      <c r="S184" s="7" t="n"/>
      <c r="T184" s="5">
        <f>IF(E184="","",IF(E184="Critical",25,IF(E184="High",16,IF(E184="Medium",9,4))))</f>
        <v/>
      </c>
    </row>
    <row r="185">
      <c r="B185" s="7" t="n"/>
      <c r="C185" s="42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42" t="n"/>
      <c r="N185" s="42" t="n"/>
      <c r="O185" s="5">
        <f>IF(C185="","",IF(OR(F185="Closed",F185=""),0,IF(N185&lt;&gt;"",MAX(0,N185-M185),MAX(0,TODAY()-IF(M185="",C185+IF(E185="Critical",Admin!$C$11,Admin!$C$10),M185)))))</f>
        <v/>
      </c>
      <c r="P185" s="5">
        <f>IF(D185="","",COUNTIFS($D$5:$D$250,D185,$I$5:$I$250,I185,$G$5:$G$250,G185))</f>
        <v/>
      </c>
      <c r="Q185" s="5">
        <f>IF(P185="","",IF(P185&gt;=3,"REPEAT ≥3",IF(P185=2,"REPEAT","Unique")))</f>
        <v/>
      </c>
      <c r="R185" s="7" t="n"/>
      <c r="S185" s="7" t="n"/>
      <c r="T185" s="5">
        <f>IF(E185="","",IF(E185="Critical",25,IF(E185="High",16,IF(E185="Medium",9,4))))</f>
        <v/>
      </c>
    </row>
    <row r="186">
      <c r="B186" s="7" t="n"/>
      <c r="C186" s="42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42" t="n"/>
      <c r="N186" s="42" t="n"/>
      <c r="O186" s="5">
        <f>IF(C186="","",IF(OR(F186="Closed",F186=""),0,IF(N186&lt;&gt;"",MAX(0,N186-M186),MAX(0,TODAY()-IF(M186="",C186+IF(E186="Critical",Admin!$C$11,Admin!$C$10),M186)))))</f>
        <v/>
      </c>
      <c r="P186" s="5">
        <f>IF(D186="","",COUNTIFS($D$5:$D$250,D186,$I$5:$I$250,I186,$G$5:$G$250,G186))</f>
        <v/>
      </c>
      <c r="Q186" s="5">
        <f>IF(P186="","",IF(P186&gt;=3,"REPEAT ≥3",IF(P186=2,"REPEAT","Unique")))</f>
        <v/>
      </c>
      <c r="R186" s="7" t="n"/>
      <c r="S186" s="7" t="n"/>
      <c r="T186" s="5">
        <f>IF(E186="","",IF(E186="Critical",25,IF(E186="High",16,IF(E186="Medium",9,4))))</f>
        <v/>
      </c>
    </row>
    <row r="187">
      <c r="B187" s="7" t="n"/>
      <c r="C187" s="42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42" t="n"/>
      <c r="N187" s="42" t="n"/>
      <c r="O187" s="5">
        <f>IF(C187="","",IF(OR(F187="Closed",F187=""),0,IF(N187&lt;&gt;"",MAX(0,N187-M187),MAX(0,TODAY()-IF(M187="",C187+IF(E187="Critical",Admin!$C$11,Admin!$C$10),M187)))))</f>
        <v/>
      </c>
      <c r="P187" s="5">
        <f>IF(D187="","",COUNTIFS($D$5:$D$250,D187,$I$5:$I$250,I187,$G$5:$G$250,G187))</f>
        <v/>
      </c>
      <c r="Q187" s="5">
        <f>IF(P187="","",IF(P187&gt;=3,"REPEAT ≥3",IF(P187=2,"REPEAT","Unique")))</f>
        <v/>
      </c>
      <c r="R187" s="7" t="n"/>
      <c r="S187" s="7" t="n"/>
      <c r="T187" s="5">
        <f>IF(E187="","",IF(E187="Critical",25,IF(E187="High",16,IF(E187="Medium",9,4))))</f>
        <v/>
      </c>
    </row>
    <row r="188">
      <c r="B188" s="7" t="n"/>
      <c r="C188" s="42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42" t="n"/>
      <c r="N188" s="42" t="n"/>
      <c r="O188" s="5">
        <f>IF(C188="","",IF(OR(F188="Closed",F188=""),0,IF(N188&lt;&gt;"",MAX(0,N188-M188),MAX(0,TODAY()-IF(M188="",C188+IF(E188="Critical",Admin!$C$11,Admin!$C$10),M188)))))</f>
        <v/>
      </c>
      <c r="P188" s="5">
        <f>IF(D188="","",COUNTIFS($D$5:$D$250,D188,$I$5:$I$250,I188,$G$5:$G$250,G188))</f>
        <v/>
      </c>
      <c r="Q188" s="5">
        <f>IF(P188="","",IF(P188&gt;=3,"REPEAT ≥3",IF(P188=2,"REPEAT","Unique")))</f>
        <v/>
      </c>
      <c r="R188" s="7" t="n"/>
      <c r="S188" s="7" t="n"/>
      <c r="T188" s="5">
        <f>IF(E188="","",IF(E188="Critical",25,IF(E188="High",16,IF(E188="Medium",9,4))))</f>
        <v/>
      </c>
    </row>
    <row r="189">
      <c r="B189" s="7" t="n"/>
      <c r="C189" s="42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42" t="n"/>
      <c r="N189" s="42" t="n"/>
      <c r="O189" s="5">
        <f>IF(C189="","",IF(OR(F189="Closed",F189=""),0,IF(N189&lt;&gt;"",MAX(0,N189-M189),MAX(0,TODAY()-IF(M189="",C189+IF(E189="Critical",Admin!$C$11,Admin!$C$10),M189)))))</f>
        <v/>
      </c>
      <c r="P189" s="5">
        <f>IF(D189="","",COUNTIFS($D$5:$D$250,D189,$I$5:$I$250,I189,$G$5:$G$250,G189))</f>
        <v/>
      </c>
      <c r="Q189" s="5">
        <f>IF(P189="","",IF(P189&gt;=3,"REPEAT ≥3",IF(P189=2,"REPEAT","Unique")))</f>
        <v/>
      </c>
      <c r="R189" s="7" t="n"/>
      <c r="S189" s="7" t="n"/>
      <c r="T189" s="5">
        <f>IF(E189="","",IF(E189="Critical",25,IF(E189="High",16,IF(E189="Medium",9,4))))</f>
        <v/>
      </c>
    </row>
    <row r="190">
      <c r="B190" s="7" t="n"/>
      <c r="C190" s="42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42" t="n"/>
      <c r="N190" s="42" t="n"/>
      <c r="O190" s="5">
        <f>IF(C190="","",IF(OR(F190="Closed",F190=""),0,IF(N190&lt;&gt;"",MAX(0,N190-M190),MAX(0,TODAY()-IF(M190="",C190+IF(E190="Critical",Admin!$C$11,Admin!$C$10),M190)))))</f>
        <v/>
      </c>
      <c r="P190" s="5">
        <f>IF(D190="","",COUNTIFS($D$5:$D$250,D190,$I$5:$I$250,I190,$G$5:$G$250,G190))</f>
        <v/>
      </c>
      <c r="Q190" s="5">
        <f>IF(P190="","",IF(P190&gt;=3,"REPEAT ≥3",IF(P190=2,"REPEAT","Unique")))</f>
        <v/>
      </c>
      <c r="R190" s="7" t="n"/>
      <c r="S190" s="7" t="n"/>
      <c r="T190" s="5">
        <f>IF(E190="","",IF(E190="Critical",25,IF(E190="High",16,IF(E190="Medium",9,4))))</f>
        <v/>
      </c>
    </row>
    <row r="191">
      <c r="B191" s="7" t="n"/>
      <c r="C191" s="42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42" t="n"/>
      <c r="N191" s="42" t="n"/>
      <c r="O191" s="5">
        <f>IF(C191="","",IF(OR(F191="Closed",F191=""),0,IF(N191&lt;&gt;"",MAX(0,N191-M191),MAX(0,TODAY()-IF(M191="",C191+IF(E191="Critical",Admin!$C$11,Admin!$C$10),M191)))))</f>
        <v/>
      </c>
      <c r="P191" s="5">
        <f>IF(D191="","",COUNTIFS($D$5:$D$250,D191,$I$5:$I$250,I191,$G$5:$G$250,G191))</f>
        <v/>
      </c>
      <c r="Q191" s="5">
        <f>IF(P191="","",IF(P191&gt;=3,"REPEAT ≥3",IF(P191=2,"REPEAT","Unique")))</f>
        <v/>
      </c>
      <c r="R191" s="7" t="n"/>
      <c r="S191" s="7" t="n"/>
      <c r="T191" s="5">
        <f>IF(E191="","",IF(E191="Critical",25,IF(E191="High",16,IF(E191="Medium",9,4))))</f>
        <v/>
      </c>
    </row>
    <row r="192">
      <c r="B192" s="7" t="n"/>
      <c r="C192" s="42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42" t="n"/>
      <c r="N192" s="42" t="n"/>
      <c r="O192" s="5">
        <f>IF(C192="","",IF(OR(F192="Closed",F192=""),0,IF(N192&lt;&gt;"",MAX(0,N192-M192),MAX(0,TODAY()-IF(M192="",C192+IF(E192="Critical",Admin!$C$11,Admin!$C$10),M192)))))</f>
        <v/>
      </c>
      <c r="P192" s="5">
        <f>IF(D192="","",COUNTIFS($D$5:$D$250,D192,$I$5:$I$250,I192,$G$5:$G$250,G192))</f>
        <v/>
      </c>
      <c r="Q192" s="5">
        <f>IF(P192="","",IF(P192&gt;=3,"REPEAT ≥3",IF(P192=2,"REPEAT","Unique")))</f>
        <v/>
      </c>
      <c r="R192" s="7" t="n"/>
      <c r="S192" s="7" t="n"/>
      <c r="T192" s="5">
        <f>IF(E192="","",IF(E192="Critical",25,IF(E192="High",16,IF(E192="Medium",9,4))))</f>
        <v/>
      </c>
    </row>
    <row r="193">
      <c r="B193" s="7" t="n"/>
      <c r="C193" s="42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42" t="n"/>
      <c r="N193" s="42" t="n"/>
      <c r="O193" s="5">
        <f>IF(C193="","",IF(OR(F193="Closed",F193=""),0,IF(N193&lt;&gt;"",MAX(0,N193-M193),MAX(0,TODAY()-IF(M193="",C193+IF(E193="Critical",Admin!$C$11,Admin!$C$10),M193)))))</f>
        <v/>
      </c>
      <c r="P193" s="5">
        <f>IF(D193="","",COUNTIFS($D$5:$D$250,D193,$I$5:$I$250,I193,$G$5:$G$250,G193))</f>
        <v/>
      </c>
      <c r="Q193" s="5">
        <f>IF(P193="","",IF(P193&gt;=3,"REPEAT ≥3",IF(P193=2,"REPEAT","Unique")))</f>
        <v/>
      </c>
      <c r="R193" s="7" t="n"/>
      <c r="S193" s="7" t="n"/>
      <c r="T193" s="5">
        <f>IF(E193="","",IF(E193="Critical",25,IF(E193="High",16,IF(E193="Medium",9,4))))</f>
        <v/>
      </c>
    </row>
    <row r="194">
      <c r="B194" s="7" t="n"/>
      <c r="C194" s="42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42" t="n"/>
      <c r="N194" s="42" t="n"/>
      <c r="O194" s="5">
        <f>IF(C194="","",IF(OR(F194="Closed",F194=""),0,IF(N194&lt;&gt;"",MAX(0,N194-M194),MAX(0,TODAY()-IF(M194="",C194+IF(E194="Critical",Admin!$C$11,Admin!$C$10),M194)))))</f>
        <v/>
      </c>
      <c r="P194" s="5">
        <f>IF(D194="","",COUNTIFS($D$5:$D$250,D194,$I$5:$I$250,I194,$G$5:$G$250,G194))</f>
        <v/>
      </c>
      <c r="Q194" s="5">
        <f>IF(P194="","",IF(P194&gt;=3,"REPEAT ≥3",IF(P194=2,"REPEAT","Unique")))</f>
        <v/>
      </c>
      <c r="R194" s="7" t="n"/>
      <c r="S194" s="7" t="n"/>
      <c r="T194" s="5">
        <f>IF(E194="","",IF(E194="Critical",25,IF(E194="High",16,IF(E194="Medium",9,4))))</f>
        <v/>
      </c>
    </row>
    <row r="195">
      <c r="B195" s="7" t="n"/>
      <c r="C195" s="42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42" t="n"/>
      <c r="N195" s="42" t="n"/>
      <c r="O195" s="5">
        <f>IF(C195="","",IF(OR(F195="Closed",F195=""),0,IF(N195&lt;&gt;"",MAX(0,N195-M195),MAX(0,TODAY()-IF(M195="",C195+IF(E195="Critical",Admin!$C$11,Admin!$C$10),M195)))))</f>
        <v/>
      </c>
      <c r="P195" s="5">
        <f>IF(D195="","",COUNTIFS($D$5:$D$250,D195,$I$5:$I$250,I195,$G$5:$G$250,G195))</f>
        <v/>
      </c>
      <c r="Q195" s="5">
        <f>IF(P195="","",IF(P195&gt;=3,"REPEAT ≥3",IF(P195=2,"REPEAT","Unique")))</f>
        <v/>
      </c>
      <c r="R195" s="7" t="n"/>
      <c r="S195" s="7" t="n"/>
      <c r="T195" s="5">
        <f>IF(E195="","",IF(E195="Critical",25,IF(E195="High",16,IF(E195="Medium",9,4))))</f>
        <v/>
      </c>
    </row>
    <row r="196">
      <c r="B196" s="7" t="n"/>
      <c r="C196" s="42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42" t="n"/>
      <c r="N196" s="42" t="n"/>
      <c r="O196" s="5">
        <f>IF(C196="","",IF(OR(F196="Closed",F196=""),0,IF(N196&lt;&gt;"",MAX(0,N196-M196),MAX(0,TODAY()-IF(M196="",C196+IF(E196="Critical",Admin!$C$11,Admin!$C$10),M196)))))</f>
        <v/>
      </c>
      <c r="P196" s="5">
        <f>IF(D196="","",COUNTIFS($D$5:$D$250,D196,$I$5:$I$250,I196,$G$5:$G$250,G196))</f>
        <v/>
      </c>
      <c r="Q196" s="5">
        <f>IF(P196="","",IF(P196&gt;=3,"REPEAT ≥3",IF(P196=2,"REPEAT","Unique")))</f>
        <v/>
      </c>
      <c r="R196" s="7" t="n"/>
      <c r="S196" s="7" t="n"/>
      <c r="T196" s="5">
        <f>IF(E196="","",IF(E196="Critical",25,IF(E196="High",16,IF(E196="Medium",9,4))))</f>
        <v/>
      </c>
    </row>
    <row r="197">
      <c r="B197" s="7" t="n"/>
      <c r="C197" s="42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42" t="n"/>
      <c r="N197" s="42" t="n"/>
      <c r="O197" s="5">
        <f>IF(C197="","",IF(OR(F197="Closed",F197=""),0,IF(N197&lt;&gt;"",MAX(0,N197-M197),MAX(0,TODAY()-IF(M197="",C197+IF(E197="Critical",Admin!$C$11,Admin!$C$10),M197)))))</f>
        <v/>
      </c>
      <c r="P197" s="5">
        <f>IF(D197="","",COUNTIFS($D$5:$D$250,D197,$I$5:$I$250,I197,$G$5:$G$250,G197))</f>
        <v/>
      </c>
      <c r="Q197" s="5">
        <f>IF(P197="","",IF(P197&gt;=3,"REPEAT ≥3",IF(P197=2,"REPEAT","Unique")))</f>
        <v/>
      </c>
      <c r="R197" s="7" t="n"/>
      <c r="S197" s="7" t="n"/>
      <c r="T197" s="5">
        <f>IF(E197="","",IF(E197="Critical",25,IF(E197="High",16,IF(E197="Medium",9,4))))</f>
        <v/>
      </c>
    </row>
    <row r="198">
      <c r="B198" s="7" t="n"/>
      <c r="C198" s="42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42" t="n"/>
      <c r="N198" s="42" t="n"/>
      <c r="O198" s="5">
        <f>IF(C198="","",IF(OR(F198="Closed",F198=""),0,IF(N198&lt;&gt;"",MAX(0,N198-M198),MAX(0,TODAY()-IF(M198="",C198+IF(E198="Critical",Admin!$C$11,Admin!$C$10),M198)))))</f>
        <v/>
      </c>
      <c r="P198" s="5">
        <f>IF(D198="","",COUNTIFS($D$5:$D$250,D198,$I$5:$I$250,I198,$G$5:$G$250,G198))</f>
        <v/>
      </c>
      <c r="Q198" s="5">
        <f>IF(P198="","",IF(P198&gt;=3,"REPEAT ≥3",IF(P198=2,"REPEAT","Unique")))</f>
        <v/>
      </c>
      <c r="R198" s="7" t="n"/>
      <c r="S198" s="7" t="n"/>
      <c r="T198" s="5">
        <f>IF(E198="","",IF(E198="Critical",25,IF(E198="High",16,IF(E198="Medium",9,4))))</f>
        <v/>
      </c>
    </row>
    <row r="199">
      <c r="B199" s="7" t="n"/>
      <c r="C199" s="42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42" t="n"/>
      <c r="N199" s="42" t="n"/>
      <c r="O199" s="5">
        <f>IF(C199="","",IF(OR(F199="Closed",F199=""),0,IF(N199&lt;&gt;"",MAX(0,N199-M199),MAX(0,TODAY()-IF(M199="",C199+IF(E199="Critical",Admin!$C$11,Admin!$C$10),M199)))))</f>
        <v/>
      </c>
      <c r="P199" s="5">
        <f>IF(D199="","",COUNTIFS($D$5:$D$250,D199,$I$5:$I$250,I199,$G$5:$G$250,G199))</f>
        <v/>
      </c>
      <c r="Q199" s="5">
        <f>IF(P199="","",IF(P199&gt;=3,"REPEAT ≥3",IF(P199=2,"REPEAT","Unique")))</f>
        <v/>
      </c>
      <c r="R199" s="7" t="n"/>
      <c r="S199" s="7" t="n"/>
      <c r="T199" s="5">
        <f>IF(E199="","",IF(E199="Critical",25,IF(E199="High",16,IF(E199="Medium",9,4))))</f>
        <v/>
      </c>
    </row>
    <row r="200">
      <c r="B200" s="7" t="n"/>
      <c r="C200" s="42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42" t="n"/>
      <c r="N200" s="42" t="n"/>
      <c r="O200" s="5">
        <f>IF(C200="","",IF(OR(F200="Closed",F200=""),0,IF(N200&lt;&gt;"",MAX(0,N200-M200),MAX(0,TODAY()-IF(M200="",C200+IF(E200="Critical",Admin!$C$11,Admin!$C$10),M200)))))</f>
        <v/>
      </c>
      <c r="P200" s="5">
        <f>IF(D200="","",COUNTIFS($D$5:$D$250,D200,$I$5:$I$250,I200,$G$5:$G$250,G200))</f>
        <v/>
      </c>
      <c r="Q200" s="5">
        <f>IF(P200="","",IF(P200&gt;=3,"REPEAT ≥3",IF(P200=2,"REPEAT","Unique")))</f>
        <v/>
      </c>
      <c r="R200" s="7" t="n"/>
      <c r="S200" s="7" t="n"/>
      <c r="T200" s="5">
        <f>IF(E200="","",IF(E200="Critical",25,IF(E200="High",16,IF(E200="Medium",9,4))))</f>
        <v/>
      </c>
    </row>
    <row r="201">
      <c r="B201" s="7" t="n"/>
      <c r="C201" s="42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42" t="n"/>
      <c r="N201" s="42" t="n"/>
      <c r="O201" s="5">
        <f>IF(C201="","",IF(OR(F201="Closed",F201=""),0,IF(N201&lt;&gt;"",MAX(0,N201-M201),MAX(0,TODAY()-IF(M201="",C201+IF(E201="Critical",Admin!$C$11,Admin!$C$10),M201)))))</f>
        <v/>
      </c>
      <c r="P201" s="5">
        <f>IF(D201="","",COUNTIFS($D$5:$D$250,D201,$I$5:$I$250,I201,$G$5:$G$250,G201))</f>
        <v/>
      </c>
      <c r="Q201" s="5">
        <f>IF(P201="","",IF(P201&gt;=3,"REPEAT ≥3",IF(P201=2,"REPEAT","Unique")))</f>
        <v/>
      </c>
      <c r="R201" s="7" t="n"/>
      <c r="S201" s="7" t="n"/>
      <c r="T201" s="5">
        <f>IF(E201="","",IF(E201="Critical",25,IF(E201="High",16,IF(E201="Medium",9,4))))</f>
        <v/>
      </c>
    </row>
    <row r="202">
      <c r="B202" s="7" t="n"/>
      <c r="C202" s="42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42" t="n"/>
      <c r="N202" s="42" t="n"/>
      <c r="O202" s="5">
        <f>IF(C202="","",IF(OR(F202="Closed",F202=""),0,IF(N202&lt;&gt;"",MAX(0,N202-M202),MAX(0,TODAY()-IF(M202="",C202+IF(E202="Critical",Admin!$C$11,Admin!$C$10),M202)))))</f>
        <v/>
      </c>
      <c r="P202" s="5">
        <f>IF(D202="","",COUNTIFS($D$5:$D$250,D202,$I$5:$I$250,I202,$G$5:$G$250,G202))</f>
        <v/>
      </c>
      <c r="Q202" s="5">
        <f>IF(P202="","",IF(P202&gt;=3,"REPEAT ≥3",IF(P202=2,"REPEAT","Unique")))</f>
        <v/>
      </c>
      <c r="R202" s="7" t="n"/>
      <c r="S202" s="7" t="n"/>
      <c r="T202" s="5">
        <f>IF(E202="","",IF(E202="Critical",25,IF(E202="High",16,IF(E202="Medium",9,4))))</f>
        <v/>
      </c>
    </row>
    <row r="203">
      <c r="B203" s="7" t="n"/>
      <c r="C203" s="42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42" t="n"/>
      <c r="N203" s="42" t="n"/>
      <c r="O203" s="5">
        <f>IF(C203="","",IF(OR(F203="Closed",F203=""),0,IF(N203&lt;&gt;"",MAX(0,N203-M203),MAX(0,TODAY()-IF(M203="",C203+IF(E203="Critical",Admin!$C$11,Admin!$C$10),M203)))))</f>
        <v/>
      </c>
      <c r="P203" s="5">
        <f>IF(D203="","",COUNTIFS($D$5:$D$250,D203,$I$5:$I$250,I203,$G$5:$G$250,G203))</f>
        <v/>
      </c>
      <c r="Q203" s="5">
        <f>IF(P203="","",IF(P203&gt;=3,"REPEAT ≥3",IF(P203=2,"REPEAT","Unique")))</f>
        <v/>
      </c>
      <c r="R203" s="7" t="n"/>
      <c r="S203" s="7" t="n"/>
      <c r="T203" s="5">
        <f>IF(E203="","",IF(E203="Critical",25,IF(E203="High",16,IF(E203="Medium",9,4))))</f>
        <v/>
      </c>
    </row>
    <row r="204">
      <c r="B204" s="7" t="n"/>
      <c r="C204" s="42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42" t="n"/>
      <c r="N204" s="42" t="n"/>
      <c r="O204" s="5">
        <f>IF(C204="","",IF(OR(F204="Closed",F204=""),0,IF(N204&lt;&gt;"",MAX(0,N204-M204),MAX(0,TODAY()-IF(M204="",C204+IF(E204="Critical",Admin!$C$11,Admin!$C$10),M204)))))</f>
        <v/>
      </c>
      <c r="P204" s="5">
        <f>IF(D204="","",COUNTIFS($D$5:$D$250,D204,$I$5:$I$250,I204,$G$5:$G$250,G204))</f>
        <v/>
      </c>
      <c r="Q204" s="5">
        <f>IF(P204="","",IF(P204&gt;=3,"REPEAT ≥3",IF(P204=2,"REPEAT","Unique")))</f>
        <v/>
      </c>
      <c r="R204" s="7" t="n"/>
      <c r="S204" s="7" t="n"/>
      <c r="T204" s="5">
        <f>IF(E204="","",IF(E204="Critical",25,IF(E204="High",16,IF(E204="Medium",9,4))))</f>
        <v/>
      </c>
    </row>
    <row r="205">
      <c r="B205" s="7" t="n"/>
      <c r="C205" s="42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42" t="n"/>
      <c r="N205" s="42" t="n"/>
      <c r="O205" s="5">
        <f>IF(C205="","",IF(OR(F205="Closed",F205=""),0,IF(N205&lt;&gt;"",MAX(0,N205-M205),MAX(0,TODAY()-IF(M205="",C205+IF(E205="Critical",Admin!$C$11,Admin!$C$10),M205)))))</f>
        <v/>
      </c>
      <c r="P205" s="5">
        <f>IF(D205="","",COUNTIFS($D$5:$D$250,D205,$I$5:$I$250,I205,$G$5:$G$250,G205))</f>
        <v/>
      </c>
      <c r="Q205" s="5">
        <f>IF(P205="","",IF(P205&gt;=3,"REPEAT ≥3",IF(P205=2,"REPEAT","Unique")))</f>
        <v/>
      </c>
      <c r="R205" s="7" t="n"/>
      <c r="S205" s="7" t="n"/>
      <c r="T205" s="5">
        <f>IF(E205="","",IF(E205="Critical",25,IF(E205="High",16,IF(E205="Medium",9,4))))</f>
        <v/>
      </c>
    </row>
    <row r="206">
      <c r="B206" s="7" t="n"/>
      <c r="C206" s="42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42" t="n"/>
      <c r="N206" s="42" t="n"/>
      <c r="O206" s="5">
        <f>IF(C206="","",IF(OR(F206="Closed",F206=""),0,IF(N206&lt;&gt;"",MAX(0,N206-M206),MAX(0,TODAY()-IF(M206="",C206+IF(E206="Critical",Admin!$C$11,Admin!$C$10),M206)))))</f>
        <v/>
      </c>
      <c r="P206" s="5">
        <f>IF(D206="","",COUNTIFS($D$5:$D$250,D206,$I$5:$I$250,I206,$G$5:$G$250,G206))</f>
        <v/>
      </c>
      <c r="Q206" s="5">
        <f>IF(P206="","",IF(P206&gt;=3,"REPEAT ≥3",IF(P206=2,"REPEAT","Unique")))</f>
        <v/>
      </c>
      <c r="R206" s="7" t="n"/>
      <c r="S206" s="7" t="n"/>
      <c r="T206" s="5">
        <f>IF(E206="","",IF(E206="Critical",25,IF(E206="High",16,IF(E206="Medium",9,4))))</f>
        <v/>
      </c>
    </row>
    <row r="207">
      <c r="B207" s="7" t="n"/>
      <c r="C207" s="42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42" t="n"/>
      <c r="N207" s="42" t="n"/>
      <c r="O207" s="5">
        <f>IF(C207="","",IF(OR(F207="Closed",F207=""),0,IF(N207&lt;&gt;"",MAX(0,N207-M207),MAX(0,TODAY()-IF(M207="",C207+IF(E207="Critical",Admin!$C$11,Admin!$C$10),M207)))))</f>
        <v/>
      </c>
      <c r="P207" s="5">
        <f>IF(D207="","",COUNTIFS($D$5:$D$250,D207,$I$5:$I$250,I207,$G$5:$G$250,G207))</f>
        <v/>
      </c>
      <c r="Q207" s="5">
        <f>IF(P207="","",IF(P207&gt;=3,"REPEAT ≥3",IF(P207=2,"REPEAT","Unique")))</f>
        <v/>
      </c>
      <c r="R207" s="7" t="n"/>
      <c r="S207" s="7" t="n"/>
      <c r="T207" s="5">
        <f>IF(E207="","",IF(E207="Critical",25,IF(E207="High",16,IF(E207="Medium",9,4))))</f>
        <v/>
      </c>
    </row>
    <row r="208">
      <c r="B208" s="7" t="n"/>
      <c r="C208" s="42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42" t="n"/>
      <c r="N208" s="42" t="n"/>
      <c r="O208" s="5">
        <f>IF(C208="","",IF(OR(F208="Closed",F208=""),0,IF(N208&lt;&gt;"",MAX(0,N208-M208),MAX(0,TODAY()-IF(M208="",C208+IF(E208="Critical",Admin!$C$11,Admin!$C$10),M208)))))</f>
        <v/>
      </c>
      <c r="P208" s="5">
        <f>IF(D208="","",COUNTIFS($D$5:$D$250,D208,$I$5:$I$250,I208,$G$5:$G$250,G208))</f>
        <v/>
      </c>
      <c r="Q208" s="5">
        <f>IF(P208="","",IF(P208&gt;=3,"REPEAT ≥3",IF(P208=2,"REPEAT","Unique")))</f>
        <v/>
      </c>
      <c r="R208" s="7" t="n"/>
      <c r="S208" s="7" t="n"/>
      <c r="T208" s="5">
        <f>IF(E208="","",IF(E208="Critical",25,IF(E208="High",16,IF(E208="Medium",9,4))))</f>
        <v/>
      </c>
    </row>
    <row r="209">
      <c r="B209" s="7" t="n"/>
      <c r="C209" s="42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42" t="n"/>
      <c r="N209" s="42" t="n"/>
      <c r="O209" s="5">
        <f>IF(C209="","",IF(OR(F209="Closed",F209=""),0,IF(N209&lt;&gt;"",MAX(0,N209-M209),MAX(0,TODAY()-IF(M209="",C209+IF(E209="Critical",Admin!$C$11,Admin!$C$10),M209)))))</f>
        <v/>
      </c>
      <c r="P209" s="5">
        <f>IF(D209="","",COUNTIFS($D$5:$D$250,D209,$I$5:$I$250,I209,$G$5:$G$250,G209))</f>
        <v/>
      </c>
      <c r="Q209" s="5">
        <f>IF(P209="","",IF(P209&gt;=3,"REPEAT ≥3",IF(P209=2,"REPEAT","Unique")))</f>
        <v/>
      </c>
      <c r="R209" s="7" t="n"/>
      <c r="S209" s="7" t="n"/>
      <c r="T209" s="5">
        <f>IF(E209="","",IF(E209="Critical",25,IF(E209="High",16,IF(E209="Medium",9,4))))</f>
        <v/>
      </c>
    </row>
    <row r="210">
      <c r="B210" s="7" t="n"/>
      <c r="C210" s="42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42" t="n"/>
      <c r="N210" s="42" t="n"/>
      <c r="O210" s="5">
        <f>IF(C210="","",IF(OR(F210="Closed",F210=""),0,IF(N210&lt;&gt;"",MAX(0,N210-M210),MAX(0,TODAY()-IF(M210="",C210+IF(E210="Critical",Admin!$C$11,Admin!$C$10),M210)))))</f>
        <v/>
      </c>
      <c r="P210" s="5">
        <f>IF(D210="","",COUNTIFS($D$5:$D$250,D210,$I$5:$I$250,I210,$G$5:$G$250,G210))</f>
        <v/>
      </c>
      <c r="Q210" s="5">
        <f>IF(P210="","",IF(P210&gt;=3,"REPEAT ≥3",IF(P210=2,"REPEAT","Unique")))</f>
        <v/>
      </c>
      <c r="R210" s="7" t="n"/>
      <c r="S210" s="7" t="n"/>
      <c r="T210" s="5">
        <f>IF(E210="","",IF(E210="Critical",25,IF(E210="High",16,IF(E210="Medium",9,4))))</f>
        <v/>
      </c>
    </row>
    <row r="211">
      <c r="B211" s="7" t="n"/>
      <c r="C211" s="42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42" t="n"/>
      <c r="N211" s="42" t="n"/>
      <c r="O211" s="5">
        <f>IF(C211="","",IF(OR(F211="Closed",F211=""),0,IF(N211&lt;&gt;"",MAX(0,N211-M211),MAX(0,TODAY()-IF(M211="",C211+IF(E211="Critical",Admin!$C$11,Admin!$C$10),M211)))))</f>
        <v/>
      </c>
      <c r="P211" s="5">
        <f>IF(D211="","",COUNTIFS($D$5:$D$250,D211,$I$5:$I$250,I211,$G$5:$G$250,G211))</f>
        <v/>
      </c>
      <c r="Q211" s="5">
        <f>IF(P211="","",IF(P211&gt;=3,"REPEAT ≥3",IF(P211=2,"REPEAT","Unique")))</f>
        <v/>
      </c>
      <c r="R211" s="7" t="n"/>
      <c r="S211" s="7" t="n"/>
      <c r="T211" s="5">
        <f>IF(E211="","",IF(E211="Critical",25,IF(E211="High",16,IF(E211="Medium",9,4))))</f>
        <v/>
      </c>
    </row>
    <row r="212">
      <c r="B212" s="7" t="n"/>
      <c r="C212" s="42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42" t="n"/>
      <c r="N212" s="42" t="n"/>
      <c r="O212" s="5">
        <f>IF(C212="","",IF(OR(F212="Closed",F212=""),0,IF(N212&lt;&gt;"",MAX(0,N212-M212),MAX(0,TODAY()-IF(M212="",C212+IF(E212="Critical",Admin!$C$11,Admin!$C$10),M212)))))</f>
        <v/>
      </c>
      <c r="P212" s="5">
        <f>IF(D212="","",COUNTIFS($D$5:$D$250,D212,$I$5:$I$250,I212,$G$5:$G$250,G212))</f>
        <v/>
      </c>
      <c r="Q212" s="5">
        <f>IF(P212="","",IF(P212&gt;=3,"REPEAT ≥3",IF(P212=2,"REPEAT","Unique")))</f>
        <v/>
      </c>
      <c r="R212" s="7" t="n"/>
      <c r="S212" s="7" t="n"/>
      <c r="T212" s="5">
        <f>IF(E212="","",IF(E212="Critical",25,IF(E212="High",16,IF(E212="Medium",9,4))))</f>
        <v/>
      </c>
    </row>
    <row r="213">
      <c r="B213" s="7" t="n"/>
      <c r="C213" s="42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42" t="n"/>
      <c r="N213" s="42" t="n"/>
      <c r="O213" s="5">
        <f>IF(C213="","",IF(OR(F213="Closed",F213=""),0,IF(N213&lt;&gt;"",MAX(0,N213-M213),MAX(0,TODAY()-IF(M213="",C213+IF(E213="Critical",Admin!$C$11,Admin!$C$10),M213)))))</f>
        <v/>
      </c>
      <c r="P213" s="5">
        <f>IF(D213="","",COUNTIFS($D$5:$D$250,D213,$I$5:$I$250,I213,$G$5:$G$250,G213))</f>
        <v/>
      </c>
      <c r="Q213" s="5">
        <f>IF(P213="","",IF(P213&gt;=3,"REPEAT ≥3",IF(P213=2,"REPEAT","Unique")))</f>
        <v/>
      </c>
      <c r="R213" s="7" t="n"/>
      <c r="S213" s="7" t="n"/>
      <c r="T213" s="5">
        <f>IF(E213="","",IF(E213="Critical",25,IF(E213="High",16,IF(E213="Medium",9,4))))</f>
        <v/>
      </c>
    </row>
    <row r="214">
      <c r="B214" s="7" t="n"/>
      <c r="C214" s="42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42" t="n"/>
      <c r="N214" s="42" t="n"/>
      <c r="O214" s="5">
        <f>IF(C214="","",IF(OR(F214="Closed",F214=""),0,IF(N214&lt;&gt;"",MAX(0,N214-M214),MAX(0,TODAY()-IF(M214="",C214+IF(E214="Critical",Admin!$C$11,Admin!$C$10),M214)))))</f>
        <v/>
      </c>
      <c r="P214" s="5">
        <f>IF(D214="","",COUNTIFS($D$5:$D$250,D214,$I$5:$I$250,I214,$G$5:$G$250,G214))</f>
        <v/>
      </c>
      <c r="Q214" s="5">
        <f>IF(P214="","",IF(P214&gt;=3,"REPEAT ≥3",IF(P214=2,"REPEAT","Unique")))</f>
        <v/>
      </c>
      <c r="R214" s="7" t="n"/>
      <c r="S214" s="7" t="n"/>
      <c r="T214" s="5">
        <f>IF(E214="","",IF(E214="Critical",25,IF(E214="High",16,IF(E214="Medium",9,4))))</f>
        <v/>
      </c>
    </row>
    <row r="215">
      <c r="B215" s="7" t="n"/>
      <c r="C215" s="42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42" t="n"/>
      <c r="N215" s="42" t="n"/>
      <c r="O215" s="5">
        <f>IF(C215="","",IF(OR(F215="Closed",F215=""),0,IF(N215&lt;&gt;"",MAX(0,N215-M215),MAX(0,TODAY()-IF(M215="",C215+IF(E215="Critical",Admin!$C$11,Admin!$C$10),M215)))))</f>
        <v/>
      </c>
      <c r="P215" s="5">
        <f>IF(D215="","",COUNTIFS($D$5:$D$250,D215,$I$5:$I$250,I215,$G$5:$G$250,G215))</f>
        <v/>
      </c>
      <c r="Q215" s="5">
        <f>IF(P215="","",IF(P215&gt;=3,"REPEAT ≥3",IF(P215=2,"REPEAT","Unique")))</f>
        <v/>
      </c>
      <c r="R215" s="7" t="n"/>
      <c r="S215" s="7" t="n"/>
      <c r="T215" s="5">
        <f>IF(E215="","",IF(E215="Critical",25,IF(E215="High",16,IF(E215="Medium",9,4))))</f>
        <v/>
      </c>
    </row>
    <row r="216">
      <c r="B216" s="7" t="n"/>
      <c r="C216" s="42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42" t="n"/>
      <c r="N216" s="42" t="n"/>
      <c r="O216" s="5">
        <f>IF(C216="","",IF(OR(F216="Closed",F216=""),0,IF(N216&lt;&gt;"",MAX(0,N216-M216),MAX(0,TODAY()-IF(M216="",C216+IF(E216="Critical",Admin!$C$11,Admin!$C$10),M216)))))</f>
        <v/>
      </c>
      <c r="P216" s="5">
        <f>IF(D216="","",COUNTIFS($D$5:$D$250,D216,$I$5:$I$250,I216,$G$5:$G$250,G216))</f>
        <v/>
      </c>
      <c r="Q216" s="5">
        <f>IF(P216="","",IF(P216&gt;=3,"REPEAT ≥3",IF(P216=2,"REPEAT","Unique")))</f>
        <v/>
      </c>
      <c r="R216" s="7" t="n"/>
      <c r="S216" s="7" t="n"/>
      <c r="T216" s="5">
        <f>IF(E216="","",IF(E216="Critical",25,IF(E216="High",16,IF(E216="Medium",9,4))))</f>
        <v/>
      </c>
    </row>
    <row r="217">
      <c r="B217" s="7" t="n"/>
      <c r="C217" s="42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42" t="n"/>
      <c r="N217" s="42" t="n"/>
      <c r="O217" s="5">
        <f>IF(C217="","",IF(OR(F217="Closed",F217=""),0,IF(N217&lt;&gt;"",MAX(0,N217-M217),MAX(0,TODAY()-IF(M217="",C217+IF(E217="Critical",Admin!$C$11,Admin!$C$10),M217)))))</f>
        <v/>
      </c>
      <c r="P217" s="5">
        <f>IF(D217="","",COUNTIFS($D$5:$D$250,D217,$I$5:$I$250,I217,$G$5:$G$250,G217))</f>
        <v/>
      </c>
      <c r="Q217" s="5">
        <f>IF(P217="","",IF(P217&gt;=3,"REPEAT ≥3",IF(P217=2,"REPEAT","Unique")))</f>
        <v/>
      </c>
      <c r="R217" s="7" t="n"/>
      <c r="S217" s="7" t="n"/>
      <c r="T217" s="5">
        <f>IF(E217="","",IF(E217="Critical",25,IF(E217="High",16,IF(E217="Medium",9,4))))</f>
        <v/>
      </c>
    </row>
    <row r="218">
      <c r="B218" s="7" t="n"/>
      <c r="C218" s="42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42" t="n"/>
      <c r="N218" s="42" t="n"/>
      <c r="O218" s="5">
        <f>IF(C218="","",IF(OR(F218="Closed",F218=""),0,IF(N218&lt;&gt;"",MAX(0,N218-M218),MAX(0,TODAY()-IF(M218="",C218+IF(E218="Critical",Admin!$C$11,Admin!$C$10),M218)))))</f>
        <v/>
      </c>
      <c r="P218" s="5">
        <f>IF(D218="","",COUNTIFS($D$5:$D$250,D218,$I$5:$I$250,I218,$G$5:$G$250,G218))</f>
        <v/>
      </c>
      <c r="Q218" s="5">
        <f>IF(P218="","",IF(P218&gt;=3,"REPEAT ≥3",IF(P218=2,"REPEAT","Unique")))</f>
        <v/>
      </c>
      <c r="R218" s="7" t="n"/>
      <c r="S218" s="7" t="n"/>
      <c r="T218" s="5">
        <f>IF(E218="","",IF(E218="Critical",25,IF(E218="High",16,IF(E218="Medium",9,4))))</f>
        <v/>
      </c>
    </row>
    <row r="219">
      <c r="B219" s="7" t="n"/>
      <c r="C219" s="42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42" t="n"/>
      <c r="N219" s="42" t="n"/>
      <c r="O219" s="5">
        <f>IF(C219="","",IF(OR(F219="Closed",F219=""),0,IF(N219&lt;&gt;"",MAX(0,N219-M219),MAX(0,TODAY()-IF(M219="",C219+IF(E219="Critical",Admin!$C$11,Admin!$C$10),M219)))))</f>
        <v/>
      </c>
      <c r="P219" s="5">
        <f>IF(D219="","",COUNTIFS($D$5:$D$250,D219,$I$5:$I$250,I219,$G$5:$G$250,G219))</f>
        <v/>
      </c>
      <c r="Q219" s="5">
        <f>IF(P219="","",IF(P219&gt;=3,"REPEAT ≥3",IF(P219=2,"REPEAT","Unique")))</f>
        <v/>
      </c>
      <c r="R219" s="7" t="n"/>
      <c r="S219" s="7" t="n"/>
      <c r="T219" s="5">
        <f>IF(E219="","",IF(E219="Critical",25,IF(E219="High",16,IF(E219="Medium",9,4))))</f>
        <v/>
      </c>
    </row>
    <row r="220">
      <c r="B220" s="7" t="n"/>
      <c r="C220" s="42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42" t="n"/>
      <c r="N220" s="42" t="n"/>
      <c r="O220" s="5">
        <f>IF(C220="","",IF(OR(F220="Closed",F220=""),0,IF(N220&lt;&gt;"",MAX(0,N220-M220),MAX(0,TODAY()-IF(M220="",C220+IF(E220="Critical",Admin!$C$11,Admin!$C$10),M220)))))</f>
        <v/>
      </c>
      <c r="P220" s="5">
        <f>IF(D220="","",COUNTIFS($D$5:$D$250,D220,$I$5:$I$250,I220,$G$5:$G$250,G220))</f>
        <v/>
      </c>
      <c r="Q220" s="5">
        <f>IF(P220="","",IF(P220&gt;=3,"REPEAT ≥3",IF(P220=2,"REPEAT","Unique")))</f>
        <v/>
      </c>
      <c r="R220" s="7" t="n"/>
      <c r="S220" s="7" t="n"/>
      <c r="T220" s="5">
        <f>IF(E220="","",IF(E220="Critical",25,IF(E220="High",16,IF(E220="Medium",9,4))))</f>
        <v/>
      </c>
    </row>
    <row r="221">
      <c r="B221" s="7" t="n"/>
      <c r="C221" s="42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42" t="n"/>
      <c r="N221" s="42" t="n"/>
      <c r="O221" s="5">
        <f>IF(C221="","",IF(OR(F221="Closed",F221=""),0,IF(N221&lt;&gt;"",MAX(0,N221-M221),MAX(0,TODAY()-IF(M221="",C221+IF(E221="Critical",Admin!$C$11,Admin!$C$10),M221)))))</f>
        <v/>
      </c>
      <c r="P221" s="5">
        <f>IF(D221="","",COUNTIFS($D$5:$D$250,D221,$I$5:$I$250,I221,$G$5:$G$250,G221))</f>
        <v/>
      </c>
      <c r="Q221" s="5">
        <f>IF(P221="","",IF(P221&gt;=3,"REPEAT ≥3",IF(P221=2,"REPEAT","Unique")))</f>
        <v/>
      </c>
      <c r="R221" s="7" t="n"/>
      <c r="S221" s="7" t="n"/>
      <c r="T221" s="5">
        <f>IF(E221="","",IF(E221="Critical",25,IF(E221="High",16,IF(E221="Medium",9,4))))</f>
        <v/>
      </c>
    </row>
    <row r="222">
      <c r="B222" s="7" t="n"/>
      <c r="C222" s="42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42" t="n"/>
      <c r="N222" s="42" t="n"/>
      <c r="O222" s="5">
        <f>IF(C222="","",IF(OR(F222="Closed",F222=""),0,IF(N222&lt;&gt;"",MAX(0,N222-M222),MAX(0,TODAY()-IF(M222="",C222+IF(E222="Critical",Admin!$C$11,Admin!$C$10),M222)))))</f>
        <v/>
      </c>
      <c r="P222" s="5">
        <f>IF(D222="","",COUNTIFS($D$5:$D$250,D222,$I$5:$I$250,I222,$G$5:$G$250,G222))</f>
        <v/>
      </c>
      <c r="Q222" s="5">
        <f>IF(P222="","",IF(P222&gt;=3,"REPEAT ≥3",IF(P222=2,"REPEAT","Unique")))</f>
        <v/>
      </c>
      <c r="R222" s="7" t="n"/>
      <c r="S222" s="7" t="n"/>
      <c r="T222" s="5">
        <f>IF(E222="","",IF(E222="Critical",25,IF(E222="High",16,IF(E222="Medium",9,4))))</f>
        <v/>
      </c>
    </row>
    <row r="223">
      <c r="B223" s="7" t="n"/>
      <c r="C223" s="42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42" t="n"/>
      <c r="N223" s="42" t="n"/>
      <c r="O223" s="5">
        <f>IF(C223="","",IF(OR(F223="Closed",F223=""),0,IF(N223&lt;&gt;"",MAX(0,N223-M223),MAX(0,TODAY()-IF(M223="",C223+IF(E223="Critical",Admin!$C$11,Admin!$C$10),M223)))))</f>
        <v/>
      </c>
      <c r="P223" s="5">
        <f>IF(D223="","",COUNTIFS($D$5:$D$250,D223,$I$5:$I$250,I223,$G$5:$G$250,G223))</f>
        <v/>
      </c>
      <c r="Q223" s="5">
        <f>IF(P223="","",IF(P223&gt;=3,"REPEAT ≥3",IF(P223=2,"REPEAT","Unique")))</f>
        <v/>
      </c>
      <c r="R223" s="7" t="n"/>
      <c r="S223" s="7" t="n"/>
      <c r="T223" s="5">
        <f>IF(E223="","",IF(E223="Critical",25,IF(E223="High",16,IF(E223="Medium",9,4))))</f>
        <v/>
      </c>
    </row>
    <row r="224">
      <c r="B224" s="7" t="n"/>
      <c r="C224" s="42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42" t="n"/>
      <c r="N224" s="42" t="n"/>
      <c r="O224" s="5">
        <f>IF(C224="","",IF(OR(F224="Closed",F224=""),0,IF(N224&lt;&gt;"",MAX(0,N224-M224),MAX(0,TODAY()-IF(M224="",C224+IF(E224="Critical",Admin!$C$11,Admin!$C$10),M224)))))</f>
        <v/>
      </c>
      <c r="P224" s="5">
        <f>IF(D224="","",COUNTIFS($D$5:$D$250,D224,$I$5:$I$250,I224,$G$5:$G$250,G224))</f>
        <v/>
      </c>
      <c r="Q224" s="5">
        <f>IF(P224="","",IF(P224&gt;=3,"REPEAT ≥3",IF(P224=2,"REPEAT","Unique")))</f>
        <v/>
      </c>
      <c r="R224" s="7" t="n"/>
      <c r="S224" s="7" t="n"/>
      <c r="T224" s="5">
        <f>IF(E224="","",IF(E224="Critical",25,IF(E224="High",16,IF(E224="Medium",9,4))))</f>
        <v/>
      </c>
    </row>
    <row r="225">
      <c r="B225" s="7" t="n"/>
      <c r="C225" s="42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42" t="n"/>
      <c r="N225" s="42" t="n"/>
      <c r="O225" s="5">
        <f>IF(C225="","",IF(OR(F225="Closed",F225=""),0,IF(N225&lt;&gt;"",MAX(0,N225-M225),MAX(0,TODAY()-IF(M225="",C225+IF(E225="Critical",Admin!$C$11,Admin!$C$10),M225)))))</f>
        <v/>
      </c>
      <c r="P225" s="5">
        <f>IF(D225="","",COUNTIFS($D$5:$D$250,D225,$I$5:$I$250,I225,$G$5:$G$250,G225))</f>
        <v/>
      </c>
      <c r="Q225" s="5">
        <f>IF(P225="","",IF(P225&gt;=3,"REPEAT ≥3",IF(P225=2,"REPEAT","Unique")))</f>
        <v/>
      </c>
      <c r="R225" s="7" t="n"/>
      <c r="S225" s="7" t="n"/>
      <c r="T225" s="5">
        <f>IF(E225="","",IF(E225="Critical",25,IF(E225="High",16,IF(E225="Medium",9,4))))</f>
        <v/>
      </c>
    </row>
    <row r="226">
      <c r="B226" s="7" t="n"/>
      <c r="C226" s="42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42" t="n"/>
      <c r="N226" s="42" t="n"/>
      <c r="O226" s="5">
        <f>IF(C226="","",IF(OR(F226="Closed",F226=""),0,IF(N226&lt;&gt;"",MAX(0,N226-M226),MAX(0,TODAY()-IF(M226="",C226+IF(E226="Critical",Admin!$C$11,Admin!$C$10),M226)))))</f>
        <v/>
      </c>
      <c r="P226" s="5">
        <f>IF(D226="","",COUNTIFS($D$5:$D$250,D226,$I$5:$I$250,I226,$G$5:$G$250,G226))</f>
        <v/>
      </c>
      <c r="Q226" s="5">
        <f>IF(P226="","",IF(P226&gt;=3,"REPEAT ≥3",IF(P226=2,"REPEAT","Unique")))</f>
        <v/>
      </c>
      <c r="R226" s="7" t="n"/>
      <c r="S226" s="7" t="n"/>
      <c r="T226" s="5">
        <f>IF(E226="","",IF(E226="Critical",25,IF(E226="High",16,IF(E226="Medium",9,4))))</f>
        <v/>
      </c>
    </row>
    <row r="227">
      <c r="B227" s="7" t="n"/>
      <c r="C227" s="42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42" t="n"/>
      <c r="N227" s="42" t="n"/>
      <c r="O227" s="5">
        <f>IF(C227="","",IF(OR(F227="Closed",F227=""),0,IF(N227&lt;&gt;"",MAX(0,N227-M227),MAX(0,TODAY()-IF(M227="",C227+IF(E227="Critical",Admin!$C$11,Admin!$C$10),M227)))))</f>
        <v/>
      </c>
      <c r="P227" s="5">
        <f>IF(D227="","",COUNTIFS($D$5:$D$250,D227,$I$5:$I$250,I227,$G$5:$G$250,G227))</f>
        <v/>
      </c>
      <c r="Q227" s="5">
        <f>IF(P227="","",IF(P227&gt;=3,"REPEAT ≥3",IF(P227=2,"REPEAT","Unique")))</f>
        <v/>
      </c>
      <c r="R227" s="7" t="n"/>
      <c r="S227" s="7" t="n"/>
      <c r="T227" s="5">
        <f>IF(E227="","",IF(E227="Critical",25,IF(E227="High",16,IF(E227="Medium",9,4))))</f>
        <v/>
      </c>
    </row>
    <row r="228">
      <c r="B228" s="7" t="n"/>
      <c r="C228" s="42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42" t="n"/>
      <c r="N228" s="42" t="n"/>
      <c r="O228" s="5">
        <f>IF(C228="","",IF(OR(F228="Closed",F228=""),0,IF(N228&lt;&gt;"",MAX(0,N228-M228),MAX(0,TODAY()-IF(M228="",C228+IF(E228="Critical",Admin!$C$11,Admin!$C$10),M228)))))</f>
        <v/>
      </c>
      <c r="P228" s="5">
        <f>IF(D228="","",COUNTIFS($D$5:$D$250,D228,$I$5:$I$250,I228,$G$5:$G$250,G228))</f>
        <v/>
      </c>
      <c r="Q228" s="5">
        <f>IF(P228="","",IF(P228&gt;=3,"REPEAT ≥3",IF(P228=2,"REPEAT","Unique")))</f>
        <v/>
      </c>
      <c r="R228" s="7" t="n"/>
      <c r="S228" s="7" t="n"/>
      <c r="T228" s="5">
        <f>IF(E228="","",IF(E228="Critical",25,IF(E228="High",16,IF(E228="Medium",9,4))))</f>
        <v/>
      </c>
    </row>
    <row r="229">
      <c r="B229" s="7" t="n"/>
      <c r="C229" s="42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42" t="n"/>
      <c r="N229" s="42" t="n"/>
      <c r="O229" s="5">
        <f>IF(C229="","",IF(OR(F229="Closed",F229=""),0,IF(N229&lt;&gt;"",MAX(0,N229-M229),MAX(0,TODAY()-IF(M229="",C229+IF(E229="Critical",Admin!$C$11,Admin!$C$10),M229)))))</f>
        <v/>
      </c>
      <c r="P229" s="5">
        <f>IF(D229="","",COUNTIFS($D$5:$D$250,D229,$I$5:$I$250,I229,$G$5:$G$250,G229))</f>
        <v/>
      </c>
      <c r="Q229" s="5">
        <f>IF(P229="","",IF(P229&gt;=3,"REPEAT ≥3",IF(P229=2,"REPEAT","Unique")))</f>
        <v/>
      </c>
      <c r="R229" s="7" t="n"/>
      <c r="S229" s="7" t="n"/>
      <c r="T229" s="5">
        <f>IF(E229="","",IF(E229="Critical",25,IF(E229="High",16,IF(E229="Medium",9,4))))</f>
        <v/>
      </c>
    </row>
    <row r="230">
      <c r="B230" s="7" t="n"/>
      <c r="C230" s="42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42" t="n"/>
      <c r="N230" s="42" t="n"/>
      <c r="O230" s="5">
        <f>IF(C230="","",IF(OR(F230="Closed",F230=""),0,IF(N230&lt;&gt;"",MAX(0,N230-M230),MAX(0,TODAY()-IF(M230="",C230+IF(E230="Critical",Admin!$C$11,Admin!$C$10),M230)))))</f>
        <v/>
      </c>
      <c r="P230" s="5">
        <f>IF(D230="","",COUNTIFS($D$5:$D$250,D230,$I$5:$I$250,I230,$G$5:$G$250,G230))</f>
        <v/>
      </c>
      <c r="Q230" s="5">
        <f>IF(P230="","",IF(P230&gt;=3,"REPEAT ≥3",IF(P230=2,"REPEAT","Unique")))</f>
        <v/>
      </c>
      <c r="R230" s="7" t="n"/>
      <c r="S230" s="7" t="n"/>
      <c r="T230" s="5">
        <f>IF(E230="","",IF(E230="Critical",25,IF(E230="High",16,IF(E230="Medium",9,4))))</f>
        <v/>
      </c>
    </row>
    <row r="231">
      <c r="B231" s="7" t="n"/>
      <c r="C231" s="42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42" t="n"/>
      <c r="N231" s="42" t="n"/>
      <c r="O231" s="5">
        <f>IF(C231="","",IF(OR(F231="Closed",F231=""),0,IF(N231&lt;&gt;"",MAX(0,N231-M231),MAX(0,TODAY()-IF(M231="",C231+IF(E231="Critical",Admin!$C$11,Admin!$C$10),M231)))))</f>
        <v/>
      </c>
      <c r="P231" s="5">
        <f>IF(D231="","",COUNTIFS($D$5:$D$250,D231,$I$5:$I$250,I231,$G$5:$G$250,G231))</f>
        <v/>
      </c>
      <c r="Q231" s="5">
        <f>IF(P231="","",IF(P231&gt;=3,"REPEAT ≥3",IF(P231=2,"REPEAT","Unique")))</f>
        <v/>
      </c>
      <c r="R231" s="7" t="n"/>
      <c r="S231" s="7" t="n"/>
      <c r="T231" s="5">
        <f>IF(E231="","",IF(E231="Critical",25,IF(E231="High",16,IF(E231="Medium",9,4))))</f>
        <v/>
      </c>
    </row>
    <row r="232">
      <c r="B232" s="7" t="n"/>
      <c r="C232" s="42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42" t="n"/>
      <c r="N232" s="42" t="n"/>
      <c r="O232" s="5">
        <f>IF(C232="","",IF(OR(F232="Closed",F232=""),0,IF(N232&lt;&gt;"",MAX(0,N232-M232),MAX(0,TODAY()-IF(M232="",C232+IF(E232="Critical",Admin!$C$11,Admin!$C$10),M232)))))</f>
        <v/>
      </c>
      <c r="P232" s="5">
        <f>IF(D232="","",COUNTIFS($D$5:$D$250,D232,$I$5:$I$250,I232,$G$5:$G$250,G232))</f>
        <v/>
      </c>
      <c r="Q232" s="5">
        <f>IF(P232="","",IF(P232&gt;=3,"REPEAT ≥3",IF(P232=2,"REPEAT","Unique")))</f>
        <v/>
      </c>
      <c r="R232" s="7" t="n"/>
      <c r="S232" s="7" t="n"/>
      <c r="T232" s="5">
        <f>IF(E232="","",IF(E232="Critical",25,IF(E232="High",16,IF(E232="Medium",9,4))))</f>
        <v/>
      </c>
    </row>
    <row r="233">
      <c r="B233" s="7" t="n"/>
      <c r="C233" s="42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42" t="n"/>
      <c r="N233" s="42" t="n"/>
      <c r="O233" s="5">
        <f>IF(C233="","",IF(OR(F233="Closed",F233=""),0,IF(N233&lt;&gt;"",MAX(0,N233-M233),MAX(0,TODAY()-IF(M233="",C233+IF(E233="Critical",Admin!$C$11,Admin!$C$10),M233)))))</f>
        <v/>
      </c>
      <c r="P233" s="5">
        <f>IF(D233="","",COUNTIFS($D$5:$D$250,D233,$I$5:$I$250,I233,$G$5:$G$250,G233))</f>
        <v/>
      </c>
      <c r="Q233" s="5">
        <f>IF(P233="","",IF(P233&gt;=3,"REPEAT ≥3",IF(P233=2,"REPEAT","Unique")))</f>
        <v/>
      </c>
      <c r="R233" s="7" t="n"/>
      <c r="S233" s="7" t="n"/>
      <c r="T233" s="5">
        <f>IF(E233="","",IF(E233="Critical",25,IF(E233="High",16,IF(E233="Medium",9,4))))</f>
        <v/>
      </c>
    </row>
    <row r="234">
      <c r="B234" s="7" t="n"/>
      <c r="C234" s="42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42" t="n"/>
      <c r="N234" s="42" t="n"/>
      <c r="O234" s="5">
        <f>IF(C234="","",IF(OR(F234="Closed",F234=""),0,IF(N234&lt;&gt;"",MAX(0,N234-M234),MAX(0,TODAY()-IF(M234="",C234+IF(E234="Critical",Admin!$C$11,Admin!$C$10),M234)))))</f>
        <v/>
      </c>
      <c r="P234" s="5">
        <f>IF(D234="","",COUNTIFS($D$5:$D$250,D234,$I$5:$I$250,I234,$G$5:$G$250,G234))</f>
        <v/>
      </c>
      <c r="Q234" s="5">
        <f>IF(P234="","",IF(P234&gt;=3,"REPEAT ≥3",IF(P234=2,"REPEAT","Unique")))</f>
        <v/>
      </c>
      <c r="R234" s="7" t="n"/>
      <c r="S234" s="7" t="n"/>
      <c r="T234" s="5">
        <f>IF(E234="","",IF(E234="Critical",25,IF(E234="High",16,IF(E234="Medium",9,4))))</f>
        <v/>
      </c>
    </row>
    <row r="235">
      <c r="B235" s="7" t="n"/>
      <c r="C235" s="42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42" t="n"/>
      <c r="N235" s="42" t="n"/>
      <c r="O235" s="5">
        <f>IF(C235="","",IF(OR(F235="Closed",F235=""),0,IF(N235&lt;&gt;"",MAX(0,N235-M235),MAX(0,TODAY()-IF(M235="",C235+IF(E235="Critical",Admin!$C$11,Admin!$C$10),M235)))))</f>
        <v/>
      </c>
      <c r="P235" s="5">
        <f>IF(D235="","",COUNTIFS($D$5:$D$250,D235,$I$5:$I$250,I235,$G$5:$G$250,G235))</f>
        <v/>
      </c>
      <c r="Q235" s="5">
        <f>IF(P235="","",IF(P235&gt;=3,"REPEAT ≥3",IF(P235=2,"REPEAT","Unique")))</f>
        <v/>
      </c>
      <c r="R235" s="7" t="n"/>
      <c r="S235" s="7" t="n"/>
      <c r="T235" s="5">
        <f>IF(E235="","",IF(E235="Critical",25,IF(E235="High",16,IF(E235="Medium",9,4))))</f>
        <v/>
      </c>
    </row>
    <row r="236">
      <c r="B236" s="7" t="n"/>
      <c r="C236" s="42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42" t="n"/>
      <c r="N236" s="42" t="n"/>
      <c r="O236" s="5">
        <f>IF(C236="","",IF(OR(F236="Closed",F236=""),0,IF(N236&lt;&gt;"",MAX(0,N236-M236),MAX(0,TODAY()-IF(M236="",C236+IF(E236="Critical",Admin!$C$11,Admin!$C$10),M236)))))</f>
        <v/>
      </c>
      <c r="P236" s="5">
        <f>IF(D236="","",COUNTIFS($D$5:$D$250,D236,$I$5:$I$250,I236,$G$5:$G$250,G236))</f>
        <v/>
      </c>
      <c r="Q236" s="5">
        <f>IF(P236="","",IF(P236&gt;=3,"REPEAT ≥3",IF(P236=2,"REPEAT","Unique")))</f>
        <v/>
      </c>
      <c r="R236" s="7" t="n"/>
      <c r="S236" s="7" t="n"/>
      <c r="T236" s="5">
        <f>IF(E236="","",IF(E236="Critical",25,IF(E236="High",16,IF(E236="Medium",9,4))))</f>
        <v/>
      </c>
    </row>
    <row r="237">
      <c r="B237" s="7" t="n"/>
      <c r="C237" s="42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42" t="n"/>
      <c r="N237" s="42" t="n"/>
      <c r="O237" s="5">
        <f>IF(C237="","",IF(OR(F237="Closed",F237=""),0,IF(N237&lt;&gt;"",MAX(0,N237-M237),MAX(0,TODAY()-IF(M237="",C237+IF(E237="Critical",Admin!$C$11,Admin!$C$10),M237)))))</f>
        <v/>
      </c>
      <c r="P237" s="5">
        <f>IF(D237="","",COUNTIFS($D$5:$D$250,D237,$I$5:$I$250,I237,$G$5:$G$250,G237))</f>
        <v/>
      </c>
      <c r="Q237" s="5">
        <f>IF(P237="","",IF(P237&gt;=3,"REPEAT ≥3",IF(P237=2,"REPEAT","Unique")))</f>
        <v/>
      </c>
      <c r="R237" s="7" t="n"/>
      <c r="S237" s="7" t="n"/>
      <c r="T237" s="5">
        <f>IF(E237="","",IF(E237="Critical",25,IF(E237="High",16,IF(E237="Medium",9,4))))</f>
        <v/>
      </c>
    </row>
    <row r="238">
      <c r="B238" s="7" t="n"/>
      <c r="C238" s="42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42" t="n"/>
      <c r="N238" s="42" t="n"/>
      <c r="O238" s="5">
        <f>IF(C238="","",IF(OR(F238="Closed",F238=""),0,IF(N238&lt;&gt;"",MAX(0,N238-M238),MAX(0,TODAY()-IF(M238="",C238+IF(E238="Critical",Admin!$C$11,Admin!$C$10),M238)))))</f>
        <v/>
      </c>
      <c r="P238" s="5">
        <f>IF(D238="","",COUNTIFS($D$5:$D$250,D238,$I$5:$I$250,I238,$G$5:$G$250,G238))</f>
        <v/>
      </c>
      <c r="Q238" s="5">
        <f>IF(P238="","",IF(P238&gt;=3,"REPEAT ≥3",IF(P238=2,"REPEAT","Unique")))</f>
        <v/>
      </c>
      <c r="R238" s="7" t="n"/>
      <c r="S238" s="7" t="n"/>
      <c r="T238" s="5">
        <f>IF(E238="","",IF(E238="Critical",25,IF(E238="High",16,IF(E238="Medium",9,4))))</f>
        <v/>
      </c>
    </row>
    <row r="239">
      <c r="B239" s="7" t="n"/>
      <c r="C239" s="42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42" t="n"/>
      <c r="N239" s="42" t="n"/>
      <c r="O239" s="5">
        <f>IF(C239="","",IF(OR(F239="Closed",F239=""),0,IF(N239&lt;&gt;"",MAX(0,N239-M239),MAX(0,TODAY()-IF(M239="",C239+IF(E239="Critical",Admin!$C$11,Admin!$C$10),M239)))))</f>
        <v/>
      </c>
      <c r="P239" s="5">
        <f>IF(D239="","",COUNTIFS($D$5:$D$250,D239,$I$5:$I$250,I239,$G$5:$G$250,G239))</f>
        <v/>
      </c>
      <c r="Q239" s="5">
        <f>IF(P239="","",IF(P239&gt;=3,"REPEAT ≥3",IF(P239=2,"REPEAT","Unique")))</f>
        <v/>
      </c>
      <c r="R239" s="7" t="n"/>
      <c r="S239" s="7" t="n"/>
      <c r="T239" s="5">
        <f>IF(E239="","",IF(E239="Critical",25,IF(E239="High",16,IF(E239="Medium",9,4))))</f>
        <v/>
      </c>
    </row>
    <row r="240">
      <c r="B240" s="7" t="n"/>
      <c r="C240" s="42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42" t="n"/>
      <c r="N240" s="42" t="n"/>
      <c r="O240" s="5">
        <f>IF(C240="","",IF(OR(F240="Closed",F240=""),0,IF(N240&lt;&gt;"",MAX(0,N240-M240),MAX(0,TODAY()-IF(M240="",C240+IF(E240="Critical",Admin!$C$11,Admin!$C$10),M240)))))</f>
        <v/>
      </c>
      <c r="P240" s="5">
        <f>IF(D240="","",COUNTIFS($D$5:$D$250,D240,$I$5:$I$250,I240,$G$5:$G$250,G240))</f>
        <v/>
      </c>
      <c r="Q240" s="5">
        <f>IF(P240="","",IF(P240&gt;=3,"REPEAT ≥3",IF(P240=2,"REPEAT","Unique")))</f>
        <v/>
      </c>
      <c r="R240" s="7" t="n"/>
      <c r="S240" s="7" t="n"/>
      <c r="T240" s="5">
        <f>IF(E240="","",IF(E240="Critical",25,IF(E240="High",16,IF(E240="Medium",9,4))))</f>
        <v/>
      </c>
    </row>
    <row r="241">
      <c r="B241" s="7" t="n"/>
      <c r="C241" s="42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42" t="n"/>
      <c r="N241" s="42" t="n"/>
      <c r="O241" s="5">
        <f>IF(C241="","",IF(OR(F241="Closed",F241=""),0,IF(N241&lt;&gt;"",MAX(0,N241-M241),MAX(0,TODAY()-IF(M241="",C241+IF(E241="Critical",Admin!$C$11,Admin!$C$10),M241)))))</f>
        <v/>
      </c>
      <c r="P241" s="5">
        <f>IF(D241="","",COUNTIFS($D$5:$D$250,D241,$I$5:$I$250,I241,$G$5:$G$250,G241))</f>
        <v/>
      </c>
      <c r="Q241" s="5">
        <f>IF(P241="","",IF(P241&gt;=3,"REPEAT ≥3",IF(P241=2,"REPEAT","Unique")))</f>
        <v/>
      </c>
      <c r="R241" s="7" t="n"/>
      <c r="S241" s="7" t="n"/>
      <c r="T241" s="5">
        <f>IF(E241="","",IF(E241="Critical",25,IF(E241="High",16,IF(E241="Medium",9,4))))</f>
        <v/>
      </c>
    </row>
    <row r="242">
      <c r="B242" s="7" t="n"/>
      <c r="C242" s="42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42" t="n"/>
      <c r="N242" s="42" t="n"/>
      <c r="O242" s="5">
        <f>IF(C242="","",IF(OR(F242="Closed",F242=""),0,IF(N242&lt;&gt;"",MAX(0,N242-M242),MAX(0,TODAY()-IF(M242="",C242+IF(E242="Critical",Admin!$C$11,Admin!$C$10),M242)))))</f>
        <v/>
      </c>
      <c r="P242" s="5">
        <f>IF(D242="","",COUNTIFS($D$5:$D$250,D242,$I$5:$I$250,I242,$G$5:$G$250,G242))</f>
        <v/>
      </c>
      <c r="Q242" s="5">
        <f>IF(P242="","",IF(P242&gt;=3,"REPEAT ≥3",IF(P242=2,"REPEAT","Unique")))</f>
        <v/>
      </c>
      <c r="R242" s="7" t="n"/>
      <c r="S242" s="7" t="n"/>
      <c r="T242" s="5">
        <f>IF(E242="","",IF(E242="Critical",25,IF(E242="High",16,IF(E242="Medium",9,4))))</f>
        <v/>
      </c>
    </row>
    <row r="243">
      <c r="B243" s="7" t="n"/>
      <c r="C243" s="42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42" t="n"/>
      <c r="N243" s="42" t="n"/>
      <c r="O243" s="5">
        <f>IF(C243="","",IF(OR(F243="Closed",F243=""),0,IF(N243&lt;&gt;"",MAX(0,N243-M243),MAX(0,TODAY()-IF(M243="",C243+IF(E243="Critical",Admin!$C$11,Admin!$C$10),M243)))))</f>
        <v/>
      </c>
      <c r="P243" s="5">
        <f>IF(D243="","",COUNTIFS($D$5:$D$250,D243,$I$5:$I$250,I243,$G$5:$G$250,G243))</f>
        <v/>
      </c>
      <c r="Q243" s="5">
        <f>IF(P243="","",IF(P243&gt;=3,"REPEAT ≥3",IF(P243=2,"REPEAT","Unique")))</f>
        <v/>
      </c>
      <c r="R243" s="7" t="n"/>
      <c r="S243" s="7" t="n"/>
      <c r="T243" s="5">
        <f>IF(E243="","",IF(E243="Critical",25,IF(E243="High",16,IF(E243="Medium",9,4))))</f>
        <v/>
      </c>
    </row>
    <row r="244">
      <c r="B244" s="7" t="n"/>
      <c r="C244" s="42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42" t="n"/>
      <c r="N244" s="42" t="n"/>
      <c r="O244" s="5">
        <f>IF(C244="","",IF(OR(F244="Closed",F244=""),0,IF(N244&lt;&gt;"",MAX(0,N244-M244),MAX(0,TODAY()-IF(M244="",C244+IF(E244="Critical",Admin!$C$11,Admin!$C$10),M244)))))</f>
        <v/>
      </c>
      <c r="P244" s="5">
        <f>IF(D244="","",COUNTIFS($D$5:$D$250,D244,$I$5:$I$250,I244,$G$5:$G$250,G244))</f>
        <v/>
      </c>
      <c r="Q244" s="5">
        <f>IF(P244="","",IF(P244&gt;=3,"REPEAT ≥3",IF(P244=2,"REPEAT","Unique")))</f>
        <v/>
      </c>
      <c r="R244" s="7" t="n"/>
      <c r="S244" s="7" t="n"/>
      <c r="T244" s="5">
        <f>IF(E244="","",IF(E244="Critical",25,IF(E244="High",16,IF(E244="Medium",9,4))))</f>
        <v/>
      </c>
    </row>
    <row r="245">
      <c r="B245" s="7" t="n"/>
      <c r="C245" s="42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42" t="n"/>
      <c r="N245" s="42" t="n"/>
      <c r="O245" s="5">
        <f>IF(C245="","",IF(OR(F245="Closed",F245=""),0,IF(N245&lt;&gt;"",MAX(0,N245-M245),MAX(0,TODAY()-IF(M245="",C245+IF(E245="Critical",Admin!$C$11,Admin!$C$10),M245)))))</f>
        <v/>
      </c>
      <c r="P245" s="5">
        <f>IF(D245="","",COUNTIFS($D$5:$D$250,D245,$I$5:$I$250,I245,$G$5:$G$250,G245))</f>
        <v/>
      </c>
      <c r="Q245" s="5">
        <f>IF(P245="","",IF(P245&gt;=3,"REPEAT ≥3",IF(P245=2,"REPEAT","Unique")))</f>
        <v/>
      </c>
      <c r="R245" s="7" t="n"/>
      <c r="S245" s="7" t="n"/>
      <c r="T245" s="5">
        <f>IF(E245="","",IF(E245="Critical",25,IF(E245="High",16,IF(E245="Medium",9,4))))</f>
        <v/>
      </c>
    </row>
    <row r="246">
      <c r="B246" s="7" t="n"/>
      <c r="C246" s="42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42" t="n"/>
      <c r="N246" s="42" t="n"/>
      <c r="O246" s="5">
        <f>IF(C246="","",IF(OR(F246="Closed",F246=""),0,IF(N246&lt;&gt;"",MAX(0,N246-M246),MAX(0,TODAY()-IF(M246="",C246+IF(E246="Critical",Admin!$C$11,Admin!$C$10),M246)))))</f>
        <v/>
      </c>
      <c r="P246" s="5">
        <f>IF(D246="","",COUNTIFS($D$5:$D$250,D246,$I$5:$I$250,I246,$G$5:$G$250,G246))</f>
        <v/>
      </c>
      <c r="Q246" s="5">
        <f>IF(P246="","",IF(P246&gt;=3,"REPEAT ≥3",IF(P246=2,"REPEAT","Unique")))</f>
        <v/>
      </c>
      <c r="R246" s="7" t="n"/>
      <c r="S246" s="7" t="n"/>
      <c r="T246" s="5">
        <f>IF(E246="","",IF(E246="Critical",25,IF(E246="High",16,IF(E246="Medium",9,4))))</f>
        <v/>
      </c>
    </row>
    <row r="247">
      <c r="B247" s="7" t="n"/>
      <c r="C247" s="42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42" t="n"/>
      <c r="N247" s="42" t="n"/>
      <c r="O247" s="5">
        <f>IF(C247="","",IF(OR(F247="Closed",F247=""),0,IF(N247&lt;&gt;"",MAX(0,N247-M247),MAX(0,TODAY()-IF(M247="",C247+IF(E247="Critical",Admin!$C$11,Admin!$C$10),M247)))))</f>
        <v/>
      </c>
      <c r="P247" s="5">
        <f>IF(D247="","",COUNTIFS($D$5:$D$250,D247,$I$5:$I$250,I247,$G$5:$G$250,G247))</f>
        <v/>
      </c>
      <c r="Q247" s="5">
        <f>IF(P247="","",IF(P247&gt;=3,"REPEAT ≥3",IF(P247=2,"REPEAT","Unique")))</f>
        <v/>
      </c>
      <c r="R247" s="7" t="n"/>
      <c r="S247" s="7" t="n"/>
      <c r="T247" s="5">
        <f>IF(E247="","",IF(E247="Critical",25,IF(E247="High",16,IF(E247="Medium",9,4))))</f>
        <v/>
      </c>
    </row>
    <row r="248">
      <c r="B248" s="7" t="n"/>
      <c r="C248" s="42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42" t="n"/>
      <c r="N248" s="42" t="n"/>
      <c r="O248" s="5">
        <f>IF(C248="","",IF(OR(F248="Closed",F248=""),0,IF(N248&lt;&gt;"",MAX(0,N248-M248),MAX(0,TODAY()-IF(M248="",C248+IF(E248="Critical",Admin!$C$11,Admin!$C$10),M248)))))</f>
        <v/>
      </c>
      <c r="P248" s="5">
        <f>IF(D248="","",COUNTIFS($D$5:$D$250,D248,$I$5:$I$250,I248,$G$5:$G$250,G248))</f>
        <v/>
      </c>
      <c r="Q248" s="5">
        <f>IF(P248="","",IF(P248&gt;=3,"REPEAT ≥3",IF(P248=2,"REPEAT","Unique")))</f>
        <v/>
      </c>
      <c r="R248" s="7" t="n"/>
      <c r="S248" s="7" t="n"/>
      <c r="T248" s="5">
        <f>IF(E248="","",IF(E248="Critical",25,IF(E248="High",16,IF(E248="Medium",9,4))))</f>
        <v/>
      </c>
    </row>
    <row r="249">
      <c r="B249" s="7" t="n"/>
      <c r="C249" s="42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42" t="n"/>
      <c r="N249" s="42" t="n"/>
      <c r="O249" s="5">
        <f>IF(C249="","",IF(OR(F249="Closed",F249=""),0,IF(N249&lt;&gt;"",MAX(0,N249-M249),MAX(0,TODAY()-IF(M249="",C249+IF(E249="Critical",Admin!$C$11,Admin!$C$10),M249)))))</f>
        <v/>
      </c>
      <c r="P249" s="5">
        <f>IF(D249="","",COUNTIFS($D$5:$D$250,D249,$I$5:$I$250,I249,$G$5:$G$250,G249))</f>
        <v/>
      </c>
      <c r="Q249" s="5">
        <f>IF(P249="","",IF(P249&gt;=3,"REPEAT ≥3",IF(P249=2,"REPEAT","Unique")))</f>
        <v/>
      </c>
      <c r="R249" s="7" t="n"/>
      <c r="S249" s="7" t="n"/>
      <c r="T249" s="5">
        <f>IF(E249="","",IF(E249="Critical",25,IF(E249="High",16,IF(E249="Medium",9,4))))</f>
        <v/>
      </c>
    </row>
  </sheetData>
  <mergeCells count="2">
    <mergeCell ref="A1:T1"/>
    <mergeCell ref="A2:T2"/>
  </mergeCells>
  <conditionalFormatting sqref="O5:O250">
    <cfRule type="cellIs" priority="1" operator="greaterThan" dxfId="2">
      <formula>0</formula>
    </cfRule>
  </conditionalFormatting>
  <conditionalFormatting sqref="F5:F250">
    <cfRule type="expression" priority="2" dxfId="3">
      <formula>$F5="Open"</formula>
    </cfRule>
    <cfRule type="expression" priority="3" dxfId="1">
      <formula>$F5="Closed"</formula>
    </cfRule>
    <cfRule type="expression" priority="4" dxfId="4">
      <formula>$F5="In Progress"</formula>
    </cfRule>
  </conditionalFormatting>
  <conditionalFormatting sqref="E5:E250">
    <cfRule type="expression" priority="5" dxfId="5">
      <formula>$E5="Critical"</formula>
    </cfRule>
    <cfRule type="expression" priority="6" dxfId="6">
      <formula>$E5="High"</formula>
    </cfRule>
  </conditionalFormatting>
  <dataValidations count="4">
    <dataValidation sqref="D5:D250" showDropDown="0" showInputMessage="0" showErrorMessage="0" allowBlank="1" type="list">
      <formula1>=Lookups!$B$5:$B$24</formula1>
    </dataValidation>
    <dataValidation sqref="E5:E250" showDropDown="0" showInputMessage="0" showErrorMessage="0" allowBlank="1" type="list">
      <formula1>=Lookups!$D$5:$D$8</formula1>
    </dataValidation>
    <dataValidation sqref="F5:F250" showDropDown="0" showInputMessage="0" showErrorMessage="0" allowBlank="1" type="list">
      <formula1>=Lookups!$C$5:$C$8</formula1>
    </dataValidation>
    <dataValidation sqref="G5:G250" showDropDown="0" showInputMessage="0" showErrorMessage="0" allowBlank="1" type="list">
      <formula1>=Lookups!$E$5:$E$12</formula1>
    </dataValidation>
  </dataValidations>
  <pageMargins left="0.75" right="0.75" top="1" bottom="1" header="0.5" footer="0.5"/>
  <pageSetup orientation="landscape" paperSize="9" fitToHeight="0" fitToWidth="1"/>
  <headerFooter>
    <oddHeader>&amp;LKAZ PP Expansion | EHS</oddHeader>
    <oddFooter>&amp;RConfidential |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8E44AD"/>
    <outlinePr summaryBelow="1" summaryRight="1"/>
    <pageSetUpPr fitToPage="1"/>
  </sheetPr>
  <dimension ref="A1:R7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8" customWidth="1" min="4" max="4"/>
    <col width="16" customWidth="1" min="5" max="5"/>
    <col width="36" customWidth="1" min="6" max="6"/>
    <col width="28" customWidth="1" min="7" max="7"/>
    <col width="16" customWidth="1" min="8" max="8"/>
    <col width="14" customWidth="1" min="9" max="9"/>
    <col width="12" customWidth="1" min="10" max="10"/>
    <col width="12" customWidth="1" min="11" max="11"/>
    <col width="14" customWidth="1" min="12" max="12"/>
    <col width="18" customWidth="1" min="13" max="13"/>
    <col width="16" customWidth="1" min="14" max="14"/>
    <col width="16" customWidth="1" min="15" max="15"/>
    <col width="14" customWidth="1" min="17" max="17"/>
    <col width="12" customWidth="1" min="18" max="18"/>
  </cols>
  <sheetData>
    <row r="1" ht="32" customHeight="1">
      <c r="A1" s="1" t="inlineStr">
        <is>
          <t>05  |  NON-CONFORMANCE REPORTS (NCR)</t>
        </is>
      </c>
    </row>
    <row r="2" ht="20" customHeight="1">
      <c r="A2" s="2" t="inlineStr">
        <is>
          <t>New NCR can trigger Outlook email via VBA (EHS_SendNCRAlert). Links to subcontractors scorecard.</t>
        </is>
      </c>
    </row>
    <row r="4">
      <c r="B4" s="9" t="inlineStr">
        <is>
          <t>NCR-ID</t>
        </is>
      </c>
      <c r="C4" s="9" t="inlineStr">
        <is>
          <t>Date</t>
        </is>
      </c>
      <c r="D4" s="9" t="inlineStr">
        <is>
          <t>Subcontractor</t>
        </is>
      </c>
      <c r="E4" s="9" t="inlineStr">
        <is>
          <t>Source (OBS/INC)</t>
        </is>
      </c>
      <c r="F4" s="9" t="inlineStr">
        <is>
          <t>Finding</t>
        </is>
      </c>
      <c r="G4" s="9" t="inlineStr">
        <is>
          <t>Required Action</t>
        </is>
      </c>
      <c r="H4" s="9" t="inlineStr">
        <is>
          <t>Owner</t>
        </is>
      </c>
      <c r="I4" s="9" t="inlineStr">
        <is>
          <t>Priority</t>
        </is>
      </c>
      <c r="J4" s="9" t="inlineStr">
        <is>
          <t>Target Date</t>
        </is>
      </c>
      <c r="K4" s="9" t="inlineStr">
        <is>
          <t>Closed Date</t>
        </is>
      </c>
      <c r="L4" s="9" t="inlineStr">
        <is>
          <t>Status</t>
        </is>
      </c>
      <c r="M4" s="9" t="inlineStr">
        <is>
          <t>Days Open</t>
        </is>
      </c>
      <c r="N4" s="9" t="inlineStr">
        <is>
          <t>Issued by</t>
        </is>
      </c>
      <c r="O4" s="9" t="inlineStr">
        <is>
          <t>Related PTW</t>
        </is>
      </c>
      <c r="Q4" t="inlineStr">
        <is>
          <t>Open NCRs</t>
        </is>
      </c>
      <c r="R4" s="5">
        <f>COUNTIF(L5:L80,"Open")+COUNTIF(L5:L80,"In Progress")</f>
        <v/>
      </c>
    </row>
    <row r="5">
      <c r="B5" s="7" t="inlineStr">
        <is>
          <t>NCR-001</t>
        </is>
      </c>
      <c r="C5" s="42" t="n">
        <v>46085</v>
      </c>
      <c r="D5" s="7" t="inlineStr">
        <is>
          <t>Team Seisms</t>
        </is>
      </c>
      <c r="E5" s="7" t="inlineStr">
        <is>
          <t>OBS-002</t>
        </is>
      </c>
      <c r="F5" s="7" t="inlineStr">
        <is>
          <t>Unprotected edge WAH — systemic PTW failure</t>
        </is>
      </c>
      <c r="G5" s="7" t="inlineStr">
        <is>
          <t>Revise WAH permit checklist; retrain crew; barrier standard</t>
        </is>
      </c>
      <c r="H5" s="7" t="inlineStr">
        <is>
          <t>Construction Mgr</t>
        </is>
      </c>
      <c r="I5" s="7" t="inlineStr">
        <is>
          <t>Critical</t>
        </is>
      </c>
      <c r="J5" s="42" t="n">
        <v>46092</v>
      </c>
      <c r="K5" s="7" t="n"/>
      <c r="L5" s="7" t="inlineStr">
        <is>
          <t>Open</t>
        </is>
      </c>
      <c r="M5" s="5">
        <f>IF(C5="","",IF(L5="Closed",IF(K5="",0,K5-C5),TODAY()-C5))</f>
        <v/>
      </c>
      <c r="N5" s="7" t="inlineStr">
        <is>
          <t>EHS Manager</t>
        </is>
      </c>
      <c r="O5" s="7" t="inlineStr">
        <is>
          <t>PTW-0155</t>
        </is>
      </c>
    </row>
    <row r="6">
      <c r="B6" s="7" t="inlineStr">
        <is>
          <t>NCR-002</t>
        </is>
      </c>
      <c r="C6" s="42" t="n">
        <v>46091</v>
      </c>
      <c r="D6" s="7" t="inlineStr">
        <is>
          <t>Mechanical Subcontractor B</t>
        </is>
      </c>
      <c r="E6" s="7" t="inlineStr">
        <is>
          <t>OBS-008</t>
        </is>
      </c>
      <c r="F6" s="7" t="inlineStr">
        <is>
          <t>Confined space entry without atmospheric test</t>
        </is>
      </c>
      <c r="G6" s="7" t="inlineStr">
        <is>
          <t>Stop CS work; full CS procedure rollout; competency cards</t>
        </is>
      </c>
      <c r="H6" s="7" t="inlineStr">
        <is>
          <t>Mech PM</t>
        </is>
      </c>
      <c r="I6" s="7" t="inlineStr">
        <is>
          <t>Critical</t>
        </is>
      </c>
      <c r="J6" s="42" t="n">
        <v>46098</v>
      </c>
      <c r="K6" s="7" t="n"/>
      <c r="L6" s="7" t="inlineStr">
        <is>
          <t>Open</t>
        </is>
      </c>
      <c r="M6" s="5">
        <f>IF(C6="","",IF(L6="Closed",IF(K6="",0,K6-C6),TODAY()-C6))</f>
        <v/>
      </c>
      <c r="N6" s="7" t="inlineStr">
        <is>
          <t>EHS Manager</t>
        </is>
      </c>
      <c r="O6" s="7" t="inlineStr">
        <is>
          <t>PTW-0199</t>
        </is>
      </c>
    </row>
    <row r="7">
      <c r="B7" s="7" t="n"/>
      <c r="C7" s="42" t="n"/>
      <c r="D7" s="7" t="n"/>
      <c r="E7" s="7" t="n"/>
      <c r="F7" s="7" t="n"/>
      <c r="G7" s="7" t="n"/>
      <c r="H7" s="7" t="n"/>
      <c r="I7" s="7" t="n"/>
      <c r="J7" s="42" t="n"/>
      <c r="K7" s="42" t="n"/>
      <c r="L7" s="7" t="n"/>
      <c r="M7" s="5">
        <f>IF(C7="","",IF(L7="Closed",IF(K7="",0,K7-C7),TODAY()-C7))</f>
        <v/>
      </c>
      <c r="N7" s="7" t="n"/>
      <c r="O7" s="7" t="n"/>
    </row>
    <row r="8">
      <c r="B8" s="7" t="n"/>
      <c r="C8" s="42" t="n"/>
      <c r="D8" s="7" t="n"/>
      <c r="E8" s="7" t="n"/>
      <c r="F8" s="7" t="n"/>
      <c r="G8" s="7" t="n"/>
      <c r="H8" s="7" t="n"/>
      <c r="I8" s="7" t="n"/>
      <c r="J8" s="42" t="n"/>
      <c r="K8" s="42" t="n"/>
      <c r="L8" s="7" t="n"/>
      <c r="M8" s="5">
        <f>IF(C8="","",IF(L8="Closed",IF(K8="",0,K8-C8),TODAY()-C8))</f>
        <v/>
      </c>
      <c r="N8" s="7" t="n"/>
      <c r="O8" s="7" t="n"/>
    </row>
    <row r="9">
      <c r="B9" s="7" t="n"/>
      <c r="C9" s="42" t="n"/>
      <c r="D9" s="7" t="n"/>
      <c r="E9" s="7" t="n"/>
      <c r="F9" s="7" t="n"/>
      <c r="G9" s="7" t="n"/>
      <c r="H9" s="7" t="n"/>
      <c r="I9" s="7" t="n"/>
      <c r="J9" s="42" t="n"/>
      <c r="K9" s="42" t="n"/>
      <c r="L9" s="7" t="n"/>
      <c r="M9" s="5">
        <f>IF(C9="","",IF(L9="Closed",IF(K9="",0,K9-C9),TODAY()-C9))</f>
        <v/>
      </c>
      <c r="N9" s="7" t="n"/>
      <c r="O9" s="7" t="n"/>
    </row>
    <row r="10">
      <c r="B10" s="7" t="n"/>
      <c r="C10" s="42" t="n"/>
      <c r="D10" s="7" t="n"/>
      <c r="E10" s="7" t="n"/>
      <c r="F10" s="7" t="n"/>
      <c r="G10" s="7" t="n"/>
      <c r="H10" s="7" t="n"/>
      <c r="I10" s="7" t="n"/>
      <c r="J10" s="42" t="n"/>
      <c r="K10" s="42" t="n"/>
      <c r="L10" s="7" t="n"/>
      <c r="M10" s="5">
        <f>IF(C10="","",IF(L10="Closed",IF(K10="",0,K10-C10),TODAY()-C10))</f>
        <v/>
      </c>
      <c r="N10" s="7" t="n"/>
      <c r="O10" s="7" t="n"/>
    </row>
    <row r="11">
      <c r="B11" s="7" t="n"/>
      <c r="C11" s="42" t="n"/>
      <c r="D11" s="7" t="n"/>
      <c r="E11" s="7" t="n"/>
      <c r="F11" s="7" t="n"/>
      <c r="G11" s="7" t="n"/>
      <c r="H11" s="7" t="n"/>
      <c r="I11" s="7" t="n"/>
      <c r="J11" s="42" t="n"/>
      <c r="K11" s="42" t="n"/>
      <c r="L11" s="7" t="n"/>
      <c r="M11" s="5">
        <f>IF(C11="","",IF(L11="Closed",IF(K11="",0,K11-C11),TODAY()-C11))</f>
        <v/>
      </c>
      <c r="N11" s="7" t="n"/>
      <c r="O11" s="7" t="n"/>
    </row>
    <row r="12">
      <c r="B12" s="7" t="n"/>
      <c r="C12" s="42" t="n"/>
      <c r="D12" s="7" t="n"/>
      <c r="E12" s="7" t="n"/>
      <c r="F12" s="7" t="n"/>
      <c r="G12" s="7" t="n"/>
      <c r="H12" s="7" t="n"/>
      <c r="I12" s="7" t="n"/>
      <c r="J12" s="42" t="n"/>
      <c r="K12" s="42" t="n"/>
      <c r="L12" s="7" t="n"/>
      <c r="M12" s="5">
        <f>IF(C12="","",IF(L12="Closed",IF(K12="",0,K12-C12),TODAY()-C12))</f>
        <v/>
      </c>
      <c r="N12" s="7" t="n"/>
      <c r="O12" s="7" t="n"/>
    </row>
    <row r="13">
      <c r="B13" s="7" t="n"/>
      <c r="C13" s="42" t="n"/>
      <c r="D13" s="7" t="n"/>
      <c r="E13" s="7" t="n"/>
      <c r="F13" s="7" t="n"/>
      <c r="G13" s="7" t="n"/>
      <c r="H13" s="7" t="n"/>
      <c r="I13" s="7" t="n"/>
      <c r="J13" s="42" t="n"/>
      <c r="K13" s="42" t="n"/>
      <c r="L13" s="7" t="n"/>
      <c r="M13" s="5">
        <f>IF(C13="","",IF(L13="Closed",IF(K13="",0,K13-C13),TODAY()-C13))</f>
        <v/>
      </c>
      <c r="N13" s="7" t="n"/>
      <c r="O13" s="7" t="n"/>
    </row>
    <row r="14">
      <c r="B14" s="7" t="n"/>
      <c r="C14" s="42" t="n"/>
      <c r="D14" s="7" t="n"/>
      <c r="E14" s="7" t="n"/>
      <c r="F14" s="7" t="n"/>
      <c r="G14" s="7" t="n"/>
      <c r="H14" s="7" t="n"/>
      <c r="I14" s="7" t="n"/>
      <c r="J14" s="42" t="n"/>
      <c r="K14" s="42" t="n"/>
      <c r="L14" s="7" t="n"/>
      <c r="M14" s="5">
        <f>IF(C14="","",IF(L14="Closed",IF(K14="",0,K14-C14),TODAY()-C14))</f>
        <v/>
      </c>
      <c r="N14" s="7" t="n"/>
      <c r="O14" s="7" t="n"/>
    </row>
    <row r="15">
      <c r="B15" s="7" t="n"/>
      <c r="C15" s="42" t="n"/>
      <c r="D15" s="7" t="n"/>
      <c r="E15" s="7" t="n"/>
      <c r="F15" s="7" t="n"/>
      <c r="G15" s="7" t="n"/>
      <c r="H15" s="7" t="n"/>
      <c r="I15" s="7" t="n"/>
      <c r="J15" s="42" t="n"/>
      <c r="K15" s="42" t="n"/>
      <c r="L15" s="7" t="n"/>
      <c r="M15" s="5">
        <f>IF(C15="","",IF(L15="Closed",IF(K15="",0,K15-C15),TODAY()-C15))</f>
        <v/>
      </c>
      <c r="N15" s="7" t="n"/>
      <c r="O15" s="7" t="n"/>
    </row>
    <row r="16">
      <c r="B16" s="7" t="n"/>
      <c r="C16" s="42" t="n"/>
      <c r="D16" s="7" t="n"/>
      <c r="E16" s="7" t="n"/>
      <c r="F16" s="7" t="n"/>
      <c r="G16" s="7" t="n"/>
      <c r="H16" s="7" t="n"/>
      <c r="I16" s="7" t="n"/>
      <c r="J16" s="42" t="n"/>
      <c r="K16" s="42" t="n"/>
      <c r="L16" s="7" t="n"/>
      <c r="M16" s="5">
        <f>IF(C16="","",IF(L16="Closed",IF(K16="",0,K16-C16),TODAY()-C16))</f>
        <v/>
      </c>
      <c r="N16" s="7" t="n"/>
      <c r="O16" s="7" t="n"/>
    </row>
    <row r="17">
      <c r="B17" s="7" t="n"/>
      <c r="C17" s="42" t="n"/>
      <c r="D17" s="7" t="n"/>
      <c r="E17" s="7" t="n"/>
      <c r="F17" s="7" t="n"/>
      <c r="G17" s="7" t="n"/>
      <c r="H17" s="7" t="n"/>
      <c r="I17" s="7" t="n"/>
      <c r="J17" s="42" t="n"/>
      <c r="K17" s="42" t="n"/>
      <c r="L17" s="7" t="n"/>
      <c r="M17" s="5">
        <f>IF(C17="","",IF(L17="Closed",IF(K17="",0,K17-C17),TODAY()-C17))</f>
        <v/>
      </c>
      <c r="N17" s="7" t="n"/>
      <c r="O17" s="7" t="n"/>
    </row>
    <row r="18">
      <c r="B18" s="7" t="n"/>
      <c r="C18" s="42" t="n"/>
      <c r="D18" s="7" t="n"/>
      <c r="E18" s="7" t="n"/>
      <c r="F18" s="7" t="n"/>
      <c r="G18" s="7" t="n"/>
      <c r="H18" s="7" t="n"/>
      <c r="I18" s="7" t="n"/>
      <c r="J18" s="42" t="n"/>
      <c r="K18" s="42" t="n"/>
      <c r="L18" s="7" t="n"/>
      <c r="M18" s="5">
        <f>IF(C18="","",IF(L18="Closed",IF(K18="",0,K18-C18),TODAY()-C18))</f>
        <v/>
      </c>
      <c r="N18" s="7" t="n"/>
      <c r="O18" s="7" t="n"/>
    </row>
    <row r="19">
      <c r="B19" s="7" t="n"/>
      <c r="C19" s="42" t="n"/>
      <c r="D19" s="7" t="n"/>
      <c r="E19" s="7" t="n"/>
      <c r="F19" s="7" t="n"/>
      <c r="G19" s="7" t="n"/>
      <c r="H19" s="7" t="n"/>
      <c r="I19" s="7" t="n"/>
      <c r="J19" s="42" t="n"/>
      <c r="K19" s="42" t="n"/>
      <c r="L19" s="7" t="n"/>
      <c r="M19" s="5">
        <f>IF(C19="","",IF(L19="Closed",IF(K19="",0,K19-C19),TODAY()-C19))</f>
        <v/>
      </c>
      <c r="N19" s="7" t="n"/>
      <c r="O19" s="7" t="n"/>
    </row>
    <row r="20">
      <c r="B20" s="7" t="n"/>
      <c r="C20" s="42" t="n"/>
      <c r="D20" s="7" t="n"/>
      <c r="E20" s="7" t="n"/>
      <c r="F20" s="7" t="n"/>
      <c r="G20" s="7" t="n"/>
      <c r="H20" s="7" t="n"/>
      <c r="I20" s="7" t="n"/>
      <c r="J20" s="42" t="n"/>
      <c r="K20" s="42" t="n"/>
      <c r="L20" s="7" t="n"/>
      <c r="M20" s="5">
        <f>IF(C20="","",IF(L20="Closed",IF(K20="",0,K20-C20),TODAY()-C20))</f>
        <v/>
      </c>
      <c r="N20" s="7" t="n"/>
      <c r="O20" s="7" t="n"/>
    </row>
    <row r="21">
      <c r="B21" s="7" t="n"/>
      <c r="C21" s="42" t="n"/>
      <c r="D21" s="7" t="n"/>
      <c r="E21" s="7" t="n"/>
      <c r="F21" s="7" t="n"/>
      <c r="G21" s="7" t="n"/>
      <c r="H21" s="7" t="n"/>
      <c r="I21" s="7" t="n"/>
      <c r="J21" s="42" t="n"/>
      <c r="K21" s="42" t="n"/>
      <c r="L21" s="7" t="n"/>
      <c r="M21" s="5">
        <f>IF(C21="","",IF(L21="Closed",IF(K21="",0,K21-C21),TODAY()-C21))</f>
        <v/>
      </c>
      <c r="N21" s="7" t="n"/>
      <c r="O21" s="7" t="n"/>
    </row>
    <row r="22">
      <c r="B22" s="7" t="n"/>
      <c r="C22" s="42" t="n"/>
      <c r="D22" s="7" t="n"/>
      <c r="E22" s="7" t="n"/>
      <c r="F22" s="7" t="n"/>
      <c r="G22" s="7" t="n"/>
      <c r="H22" s="7" t="n"/>
      <c r="I22" s="7" t="n"/>
      <c r="J22" s="42" t="n"/>
      <c r="K22" s="42" t="n"/>
      <c r="L22" s="7" t="n"/>
      <c r="M22" s="5">
        <f>IF(C22="","",IF(L22="Closed",IF(K22="",0,K22-C22),TODAY()-C22))</f>
        <v/>
      </c>
      <c r="N22" s="7" t="n"/>
      <c r="O22" s="7" t="n"/>
    </row>
    <row r="23">
      <c r="B23" s="7" t="n"/>
      <c r="C23" s="42" t="n"/>
      <c r="D23" s="7" t="n"/>
      <c r="E23" s="7" t="n"/>
      <c r="F23" s="7" t="n"/>
      <c r="G23" s="7" t="n"/>
      <c r="H23" s="7" t="n"/>
      <c r="I23" s="7" t="n"/>
      <c r="J23" s="42" t="n"/>
      <c r="K23" s="42" t="n"/>
      <c r="L23" s="7" t="n"/>
      <c r="M23" s="5">
        <f>IF(C23="","",IF(L23="Closed",IF(K23="",0,K23-C23),TODAY()-C23))</f>
        <v/>
      </c>
      <c r="N23" s="7" t="n"/>
      <c r="O23" s="7" t="n"/>
    </row>
    <row r="24">
      <c r="B24" s="7" t="n"/>
      <c r="C24" s="42" t="n"/>
      <c r="D24" s="7" t="n"/>
      <c r="E24" s="7" t="n"/>
      <c r="F24" s="7" t="n"/>
      <c r="G24" s="7" t="n"/>
      <c r="H24" s="7" t="n"/>
      <c r="I24" s="7" t="n"/>
      <c r="J24" s="42" t="n"/>
      <c r="K24" s="42" t="n"/>
      <c r="L24" s="7" t="n"/>
      <c r="M24" s="5">
        <f>IF(C24="","",IF(L24="Closed",IF(K24="",0,K24-C24),TODAY()-C24))</f>
        <v/>
      </c>
      <c r="N24" s="7" t="n"/>
      <c r="O24" s="7" t="n"/>
    </row>
    <row r="25">
      <c r="B25" s="7" t="n"/>
      <c r="C25" s="42" t="n"/>
      <c r="D25" s="7" t="n"/>
      <c r="E25" s="7" t="n"/>
      <c r="F25" s="7" t="n"/>
      <c r="G25" s="7" t="n"/>
      <c r="H25" s="7" t="n"/>
      <c r="I25" s="7" t="n"/>
      <c r="J25" s="42" t="n"/>
      <c r="K25" s="42" t="n"/>
      <c r="L25" s="7" t="n"/>
      <c r="M25" s="5">
        <f>IF(C25="","",IF(L25="Closed",IF(K25="",0,K25-C25),TODAY()-C25))</f>
        <v/>
      </c>
      <c r="N25" s="7" t="n"/>
      <c r="O25" s="7" t="n"/>
    </row>
    <row r="26">
      <c r="B26" s="7" t="n"/>
      <c r="C26" s="42" t="n"/>
      <c r="D26" s="7" t="n"/>
      <c r="E26" s="7" t="n"/>
      <c r="F26" s="7" t="n"/>
      <c r="G26" s="7" t="n"/>
      <c r="H26" s="7" t="n"/>
      <c r="I26" s="7" t="n"/>
      <c r="J26" s="42" t="n"/>
      <c r="K26" s="42" t="n"/>
      <c r="L26" s="7" t="n"/>
      <c r="M26" s="5">
        <f>IF(C26="","",IF(L26="Closed",IF(K26="",0,K26-C26),TODAY()-C26))</f>
        <v/>
      </c>
      <c r="N26" s="7" t="n"/>
      <c r="O26" s="7" t="n"/>
    </row>
    <row r="27">
      <c r="B27" s="7" t="n"/>
      <c r="C27" s="42" t="n"/>
      <c r="D27" s="7" t="n"/>
      <c r="E27" s="7" t="n"/>
      <c r="F27" s="7" t="n"/>
      <c r="G27" s="7" t="n"/>
      <c r="H27" s="7" t="n"/>
      <c r="I27" s="7" t="n"/>
      <c r="J27" s="42" t="n"/>
      <c r="K27" s="42" t="n"/>
      <c r="L27" s="7" t="n"/>
      <c r="M27" s="5">
        <f>IF(C27="","",IF(L27="Closed",IF(K27="",0,K27-C27),TODAY()-C27))</f>
        <v/>
      </c>
      <c r="N27" s="7" t="n"/>
      <c r="O27" s="7" t="n"/>
    </row>
    <row r="28">
      <c r="B28" s="7" t="n"/>
      <c r="C28" s="42" t="n"/>
      <c r="D28" s="7" t="n"/>
      <c r="E28" s="7" t="n"/>
      <c r="F28" s="7" t="n"/>
      <c r="G28" s="7" t="n"/>
      <c r="H28" s="7" t="n"/>
      <c r="I28" s="7" t="n"/>
      <c r="J28" s="42" t="n"/>
      <c r="K28" s="42" t="n"/>
      <c r="L28" s="7" t="n"/>
      <c r="M28" s="5">
        <f>IF(C28="","",IF(L28="Closed",IF(K28="",0,K28-C28),TODAY()-C28))</f>
        <v/>
      </c>
      <c r="N28" s="7" t="n"/>
      <c r="O28" s="7" t="n"/>
    </row>
    <row r="29">
      <c r="B29" s="7" t="n"/>
      <c r="C29" s="42" t="n"/>
      <c r="D29" s="7" t="n"/>
      <c r="E29" s="7" t="n"/>
      <c r="F29" s="7" t="n"/>
      <c r="G29" s="7" t="n"/>
      <c r="H29" s="7" t="n"/>
      <c r="I29" s="7" t="n"/>
      <c r="J29" s="42" t="n"/>
      <c r="K29" s="42" t="n"/>
      <c r="L29" s="7" t="n"/>
      <c r="M29" s="5">
        <f>IF(C29="","",IF(L29="Closed",IF(K29="",0,K29-C29),TODAY()-C29))</f>
        <v/>
      </c>
      <c r="N29" s="7" t="n"/>
      <c r="O29" s="7" t="n"/>
    </row>
    <row r="30">
      <c r="B30" s="7" t="n"/>
      <c r="C30" s="42" t="n"/>
      <c r="D30" s="7" t="n"/>
      <c r="E30" s="7" t="n"/>
      <c r="F30" s="7" t="n"/>
      <c r="G30" s="7" t="n"/>
      <c r="H30" s="7" t="n"/>
      <c r="I30" s="7" t="n"/>
      <c r="J30" s="42" t="n"/>
      <c r="K30" s="42" t="n"/>
      <c r="L30" s="7" t="n"/>
      <c r="M30" s="5">
        <f>IF(C30="","",IF(L30="Closed",IF(K30="",0,K30-C30),TODAY()-C30))</f>
        <v/>
      </c>
      <c r="N30" s="7" t="n"/>
      <c r="O30" s="7" t="n"/>
    </row>
    <row r="31">
      <c r="B31" s="7" t="n"/>
      <c r="C31" s="42" t="n"/>
      <c r="D31" s="7" t="n"/>
      <c r="E31" s="7" t="n"/>
      <c r="F31" s="7" t="n"/>
      <c r="G31" s="7" t="n"/>
      <c r="H31" s="7" t="n"/>
      <c r="I31" s="7" t="n"/>
      <c r="J31" s="42" t="n"/>
      <c r="K31" s="42" t="n"/>
      <c r="L31" s="7" t="n"/>
      <c r="M31" s="5">
        <f>IF(C31="","",IF(L31="Closed",IF(K31="",0,K31-C31),TODAY()-C31))</f>
        <v/>
      </c>
      <c r="N31" s="7" t="n"/>
      <c r="O31" s="7" t="n"/>
    </row>
    <row r="32">
      <c r="B32" s="7" t="n"/>
      <c r="C32" s="42" t="n"/>
      <c r="D32" s="7" t="n"/>
      <c r="E32" s="7" t="n"/>
      <c r="F32" s="7" t="n"/>
      <c r="G32" s="7" t="n"/>
      <c r="H32" s="7" t="n"/>
      <c r="I32" s="7" t="n"/>
      <c r="J32" s="42" t="n"/>
      <c r="K32" s="42" t="n"/>
      <c r="L32" s="7" t="n"/>
      <c r="M32" s="5">
        <f>IF(C32="","",IF(L32="Closed",IF(K32="",0,K32-C32),TODAY()-C32))</f>
        <v/>
      </c>
      <c r="N32" s="7" t="n"/>
      <c r="O32" s="7" t="n"/>
    </row>
    <row r="33">
      <c r="B33" s="7" t="n"/>
      <c r="C33" s="42" t="n"/>
      <c r="D33" s="7" t="n"/>
      <c r="E33" s="7" t="n"/>
      <c r="F33" s="7" t="n"/>
      <c r="G33" s="7" t="n"/>
      <c r="H33" s="7" t="n"/>
      <c r="I33" s="7" t="n"/>
      <c r="J33" s="42" t="n"/>
      <c r="K33" s="42" t="n"/>
      <c r="L33" s="7" t="n"/>
      <c r="M33" s="5">
        <f>IF(C33="","",IF(L33="Closed",IF(K33="",0,K33-C33),TODAY()-C33))</f>
        <v/>
      </c>
      <c r="N33" s="7" t="n"/>
      <c r="O33" s="7" t="n"/>
    </row>
    <row r="34">
      <c r="B34" s="7" t="n"/>
      <c r="C34" s="42" t="n"/>
      <c r="D34" s="7" t="n"/>
      <c r="E34" s="7" t="n"/>
      <c r="F34" s="7" t="n"/>
      <c r="G34" s="7" t="n"/>
      <c r="H34" s="7" t="n"/>
      <c r="I34" s="7" t="n"/>
      <c r="J34" s="42" t="n"/>
      <c r="K34" s="42" t="n"/>
      <c r="L34" s="7" t="n"/>
      <c r="M34" s="5">
        <f>IF(C34="","",IF(L34="Closed",IF(K34="",0,K34-C34),TODAY()-C34))</f>
        <v/>
      </c>
      <c r="N34" s="7" t="n"/>
      <c r="O34" s="7" t="n"/>
    </row>
    <row r="35">
      <c r="B35" s="7" t="n"/>
      <c r="C35" s="42" t="n"/>
      <c r="D35" s="7" t="n"/>
      <c r="E35" s="7" t="n"/>
      <c r="F35" s="7" t="n"/>
      <c r="G35" s="7" t="n"/>
      <c r="H35" s="7" t="n"/>
      <c r="I35" s="7" t="n"/>
      <c r="J35" s="42" t="n"/>
      <c r="K35" s="42" t="n"/>
      <c r="L35" s="7" t="n"/>
      <c r="M35" s="5">
        <f>IF(C35="","",IF(L35="Closed",IF(K35="",0,K35-C35),TODAY()-C35))</f>
        <v/>
      </c>
      <c r="N35" s="7" t="n"/>
      <c r="O35" s="7" t="n"/>
    </row>
    <row r="36">
      <c r="B36" s="7" t="n"/>
      <c r="C36" s="42" t="n"/>
      <c r="D36" s="7" t="n"/>
      <c r="E36" s="7" t="n"/>
      <c r="F36" s="7" t="n"/>
      <c r="G36" s="7" t="n"/>
      <c r="H36" s="7" t="n"/>
      <c r="I36" s="7" t="n"/>
      <c r="J36" s="42" t="n"/>
      <c r="K36" s="42" t="n"/>
      <c r="L36" s="7" t="n"/>
      <c r="M36" s="5">
        <f>IF(C36="","",IF(L36="Closed",IF(K36="",0,K36-C36),TODAY()-C36))</f>
        <v/>
      </c>
      <c r="N36" s="7" t="n"/>
      <c r="O36" s="7" t="n"/>
    </row>
    <row r="37">
      <c r="B37" s="7" t="n"/>
      <c r="C37" s="42" t="n"/>
      <c r="D37" s="7" t="n"/>
      <c r="E37" s="7" t="n"/>
      <c r="F37" s="7" t="n"/>
      <c r="G37" s="7" t="n"/>
      <c r="H37" s="7" t="n"/>
      <c r="I37" s="7" t="n"/>
      <c r="J37" s="42" t="n"/>
      <c r="K37" s="42" t="n"/>
      <c r="L37" s="7" t="n"/>
      <c r="M37" s="5">
        <f>IF(C37="","",IF(L37="Closed",IF(K37="",0,K37-C37),TODAY()-C37))</f>
        <v/>
      </c>
      <c r="N37" s="7" t="n"/>
      <c r="O37" s="7" t="n"/>
    </row>
    <row r="38">
      <c r="B38" s="7" t="n"/>
      <c r="C38" s="42" t="n"/>
      <c r="D38" s="7" t="n"/>
      <c r="E38" s="7" t="n"/>
      <c r="F38" s="7" t="n"/>
      <c r="G38" s="7" t="n"/>
      <c r="H38" s="7" t="n"/>
      <c r="I38" s="7" t="n"/>
      <c r="J38" s="42" t="n"/>
      <c r="K38" s="42" t="n"/>
      <c r="L38" s="7" t="n"/>
      <c r="M38" s="5">
        <f>IF(C38="","",IF(L38="Closed",IF(K38="",0,K38-C38),TODAY()-C38))</f>
        <v/>
      </c>
      <c r="N38" s="7" t="n"/>
      <c r="O38" s="7" t="n"/>
    </row>
    <row r="39">
      <c r="B39" s="7" t="n"/>
      <c r="C39" s="42" t="n"/>
      <c r="D39" s="7" t="n"/>
      <c r="E39" s="7" t="n"/>
      <c r="F39" s="7" t="n"/>
      <c r="G39" s="7" t="n"/>
      <c r="H39" s="7" t="n"/>
      <c r="I39" s="7" t="n"/>
      <c r="J39" s="42" t="n"/>
      <c r="K39" s="42" t="n"/>
      <c r="L39" s="7" t="n"/>
      <c r="M39" s="5">
        <f>IF(C39="","",IF(L39="Closed",IF(K39="",0,K39-C39),TODAY()-C39))</f>
        <v/>
      </c>
      <c r="N39" s="7" t="n"/>
      <c r="O39" s="7" t="n"/>
    </row>
    <row r="40">
      <c r="B40" s="7" t="n"/>
      <c r="C40" s="42" t="n"/>
      <c r="D40" s="7" t="n"/>
      <c r="E40" s="7" t="n"/>
      <c r="F40" s="7" t="n"/>
      <c r="G40" s="7" t="n"/>
      <c r="H40" s="7" t="n"/>
      <c r="I40" s="7" t="n"/>
      <c r="J40" s="42" t="n"/>
      <c r="K40" s="42" t="n"/>
      <c r="L40" s="7" t="n"/>
      <c r="M40" s="5">
        <f>IF(C40="","",IF(L40="Closed",IF(K40="",0,K40-C40),TODAY()-C40))</f>
        <v/>
      </c>
      <c r="N40" s="7" t="n"/>
      <c r="O40" s="7" t="n"/>
    </row>
    <row r="41">
      <c r="B41" s="7" t="n"/>
      <c r="C41" s="42" t="n"/>
      <c r="D41" s="7" t="n"/>
      <c r="E41" s="7" t="n"/>
      <c r="F41" s="7" t="n"/>
      <c r="G41" s="7" t="n"/>
      <c r="H41" s="7" t="n"/>
      <c r="I41" s="7" t="n"/>
      <c r="J41" s="42" t="n"/>
      <c r="K41" s="42" t="n"/>
      <c r="L41" s="7" t="n"/>
      <c r="M41" s="5">
        <f>IF(C41="","",IF(L41="Closed",IF(K41="",0,K41-C41),TODAY()-C41))</f>
        <v/>
      </c>
      <c r="N41" s="7" t="n"/>
      <c r="O41" s="7" t="n"/>
    </row>
    <row r="42">
      <c r="B42" s="7" t="n"/>
      <c r="C42" s="42" t="n"/>
      <c r="D42" s="7" t="n"/>
      <c r="E42" s="7" t="n"/>
      <c r="F42" s="7" t="n"/>
      <c r="G42" s="7" t="n"/>
      <c r="H42" s="7" t="n"/>
      <c r="I42" s="7" t="n"/>
      <c r="J42" s="42" t="n"/>
      <c r="K42" s="42" t="n"/>
      <c r="L42" s="7" t="n"/>
      <c r="M42" s="5">
        <f>IF(C42="","",IF(L42="Closed",IF(K42="",0,K42-C42),TODAY()-C42))</f>
        <v/>
      </c>
      <c r="N42" s="7" t="n"/>
      <c r="O42" s="7" t="n"/>
    </row>
    <row r="43">
      <c r="B43" s="7" t="n"/>
      <c r="C43" s="42" t="n"/>
      <c r="D43" s="7" t="n"/>
      <c r="E43" s="7" t="n"/>
      <c r="F43" s="7" t="n"/>
      <c r="G43" s="7" t="n"/>
      <c r="H43" s="7" t="n"/>
      <c r="I43" s="7" t="n"/>
      <c r="J43" s="42" t="n"/>
      <c r="K43" s="42" t="n"/>
      <c r="L43" s="7" t="n"/>
      <c r="M43" s="5">
        <f>IF(C43="","",IF(L43="Closed",IF(K43="",0,K43-C43),TODAY()-C43))</f>
        <v/>
      </c>
      <c r="N43" s="7" t="n"/>
      <c r="O43" s="7" t="n"/>
    </row>
    <row r="44">
      <c r="B44" s="7" t="n"/>
      <c r="C44" s="42" t="n"/>
      <c r="D44" s="7" t="n"/>
      <c r="E44" s="7" t="n"/>
      <c r="F44" s="7" t="n"/>
      <c r="G44" s="7" t="n"/>
      <c r="H44" s="7" t="n"/>
      <c r="I44" s="7" t="n"/>
      <c r="J44" s="42" t="n"/>
      <c r="K44" s="42" t="n"/>
      <c r="L44" s="7" t="n"/>
      <c r="M44" s="5">
        <f>IF(C44="","",IF(L44="Closed",IF(K44="",0,K44-C44),TODAY()-C44))</f>
        <v/>
      </c>
      <c r="N44" s="7" t="n"/>
      <c r="O44" s="7" t="n"/>
    </row>
    <row r="45">
      <c r="B45" s="7" t="n"/>
      <c r="C45" s="42" t="n"/>
      <c r="D45" s="7" t="n"/>
      <c r="E45" s="7" t="n"/>
      <c r="F45" s="7" t="n"/>
      <c r="G45" s="7" t="n"/>
      <c r="H45" s="7" t="n"/>
      <c r="I45" s="7" t="n"/>
      <c r="J45" s="42" t="n"/>
      <c r="K45" s="42" t="n"/>
      <c r="L45" s="7" t="n"/>
      <c r="M45" s="5">
        <f>IF(C45="","",IF(L45="Closed",IF(K45="",0,K45-C45),TODAY()-C45))</f>
        <v/>
      </c>
      <c r="N45" s="7" t="n"/>
      <c r="O45" s="7" t="n"/>
    </row>
    <row r="46">
      <c r="B46" s="7" t="n"/>
      <c r="C46" s="42" t="n"/>
      <c r="D46" s="7" t="n"/>
      <c r="E46" s="7" t="n"/>
      <c r="F46" s="7" t="n"/>
      <c r="G46" s="7" t="n"/>
      <c r="H46" s="7" t="n"/>
      <c r="I46" s="7" t="n"/>
      <c r="J46" s="42" t="n"/>
      <c r="K46" s="42" t="n"/>
      <c r="L46" s="7" t="n"/>
      <c r="M46" s="5">
        <f>IF(C46="","",IF(L46="Closed",IF(K46="",0,K46-C46),TODAY()-C46))</f>
        <v/>
      </c>
      <c r="N46" s="7" t="n"/>
      <c r="O46" s="7" t="n"/>
    </row>
    <row r="47">
      <c r="B47" s="7" t="n"/>
      <c r="C47" s="42" t="n"/>
      <c r="D47" s="7" t="n"/>
      <c r="E47" s="7" t="n"/>
      <c r="F47" s="7" t="n"/>
      <c r="G47" s="7" t="n"/>
      <c r="H47" s="7" t="n"/>
      <c r="I47" s="7" t="n"/>
      <c r="J47" s="42" t="n"/>
      <c r="K47" s="42" t="n"/>
      <c r="L47" s="7" t="n"/>
      <c r="M47" s="5">
        <f>IF(C47="","",IF(L47="Closed",IF(K47="",0,K47-C47),TODAY()-C47))</f>
        <v/>
      </c>
      <c r="N47" s="7" t="n"/>
      <c r="O47" s="7" t="n"/>
    </row>
    <row r="48">
      <c r="B48" s="7" t="n"/>
      <c r="C48" s="42" t="n"/>
      <c r="D48" s="7" t="n"/>
      <c r="E48" s="7" t="n"/>
      <c r="F48" s="7" t="n"/>
      <c r="G48" s="7" t="n"/>
      <c r="H48" s="7" t="n"/>
      <c r="I48" s="7" t="n"/>
      <c r="J48" s="42" t="n"/>
      <c r="K48" s="42" t="n"/>
      <c r="L48" s="7" t="n"/>
      <c r="M48" s="5">
        <f>IF(C48="","",IF(L48="Closed",IF(K48="",0,K48-C48),TODAY()-C48))</f>
        <v/>
      </c>
      <c r="N48" s="7" t="n"/>
      <c r="O48" s="7" t="n"/>
    </row>
    <row r="49">
      <c r="B49" s="7" t="n"/>
      <c r="C49" s="42" t="n"/>
      <c r="D49" s="7" t="n"/>
      <c r="E49" s="7" t="n"/>
      <c r="F49" s="7" t="n"/>
      <c r="G49" s="7" t="n"/>
      <c r="H49" s="7" t="n"/>
      <c r="I49" s="7" t="n"/>
      <c r="J49" s="42" t="n"/>
      <c r="K49" s="42" t="n"/>
      <c r="L49" s="7" t="n"/>
      <c r="M49" s="5">
        <f>IF(C49="","",IF(L49="Closed",IF(K49="",0,K49-C49),TODAY()-C49))</f>
        <v/>
      </c>
      <c r="N49" s="7" t="n"/>
      <c r="O49" s="7" t="n"/>
    </row>
    <row r="50">
      <c r="B50" s="7" t="n"/>
      <c r="C50" s="42" t="n"/>
      <c r="D50" s="7" t="n"/>
      <c r="E50" s="7" t="n"/>
      <c r="F50" s="7" t="n"/>
      <c r="G50" s="7" t="n"/>
      <c r="H50" s="7" t="n"/>
      <c r="I50" s="7" t="n"/>
      <c r="J50" s="42" t="n"/>
      <c r="K50" s="42" t="n"/>
      <c r="L50" s="7" t="n"/>
      <c r="M50" s="5">
        <f>IF(C50="","",IF(L50="Closed",IF(K50="",0,K50-C50),TODAY()-C50))</f>
        <v/>
      </c>
      <c r="N50" s="7" t="n"/>
      <c r="O50" s="7" t="n"/>
    </row>
    <row r="51">
      <c r="B51" s="7" t="n"/>
      <c r="C51" s="42" t="n"/>
      <c r="D51" s="7" t="n"/>
      <c r="E51" s="7" t="n"/>
      <c r="F51" s="7" t="n"/>
      <c r="G51" s="7" t="n"/>
      <c r="H51" s="7" t="n"/>
      <c r="I51" s="7" t="n"/>
      <c r="J51" s="42" t="n"/>
      <c r="K51" s="42" t="n"/>
      <c r="L51" s="7" t="n"/>
      <c r="M51" s="5">
        <f>IF(C51="","",IF(L51="Closed",IF(K51="",0,K51-C51),TODAY()-C51))</f>
        <v/>
      </c>
      <c r="N51" s="7" t="n"/>
      <c r="O51" s="7" t="n"/>
    </row>
    <row r="52">
      <c r="B52" s="7" t="n"/>
      <c r="C52" s="42" t="n"/>
      <c r="D52" s="7" t="n"/>
      <c r="E52" s="7" t="n"/>
      <c r="F52" s="7" t="n"/>
      <c r="G52" s="7" t="n"/>
      <c r="H52" s="7" t="n"/>
      <c r="I52" s="7" t="n"/>
      <c r="J52" s="42" t="n"/>
      <c r="K52" s="42" t="n"/>
      <c r="L52" s="7" t="n"/>
      <c r="M52" s="5">
        <f>IF(C52="","",IF(L52="Closed",IF(K52="",0,K52-C52),TODAY()-C52))</f>
        <v/>
      </c>
      <c r="N52" s="7" t="n"/>
      <c r="O52" s="7" t="n"/>
    </row>
    <row r="53">
      <c r="B53" s="7" t="n"/>
      <c r="C53" s="42" t="n"/>
      <c r="D53" s="7" t="n"/>
      <c r="E53" s="7" t="n"/>
      <c r="F53" s="7" t="n"/>
      <c r="G53" s="7" t="n"/>
      <c r="H53" s="7" t="n"/>
      <c r="I53" s="7" t="n"/>
      <c r="J53" s="42" t="n"/>
      <c r="K53" s="42" t="n"/>
      <c r="L53" s="7" t="n"/>
      <c r="M53" s="5">
        <f>IF(C53="","",IF(L53="Closed",IF(K53="",0,K53-C53),TODAY()-C53))</f>
        <v/>
      </c>
      <c r="N53" s="7" t="n"/>
      <c r="O53" s="7" t="n"/>
    </row>
    <row r="54">
      <c r="B54" s="7" t="n"/>
      <c r="C54" s="42" t="n"/>
      <c r="D54" s="7" t="n"/>
      <c r="E54" s="7" t="n"/>
      <c r="F54" s="7" t="n"/>
      <c r="G54" s="7" t="n"/>
      <c r="H54" s="7" t="n"/>
      <c r="I54" s="7" t="n"/>
      <c r="J54" s="42" t="n"/>
      <c r="K54" s="42" t="n"/>
      <c r="L54" s="7" t="n"/>
      <c r="M54" s="5">
        <f>IF(C54="","",IF(L54="Closed",IF(K54="",0,K54-C54),TODAY()-C54))</f>
        <v/>
      </c>
      <c r="N54" s="7" t="n"/>
      <c r="O54" s="7" t="n"/>
    </row>
    <row r="55">
      <c r="B55" s="7" t="n"/>
      <c r="C55" s="42" t="n"/>
      <c r="D55" s="7" t="n"/>
      <c r="E55" s="7" t="n"/>
      <c r="F55" s="7" t="n"/>
      <c r="G55" s="7" t="n"/>
      <c r="H55" s="7" t="n"/>
      <c r="I55" s="7" t="n"/>
      <c r="J55" s="42" t="n"/>
      <c r="K55" s="42" t="n"/>
      <c r="L55" s="7" t="n"/>
      <c r="M55" s="5">
        <f>IF(C55="","",IF(L55="Closed",IF(K55="",0,K55-C55),TODAY()-C55))</f>
        <v/>
      </c>
      <c r="N55" s="7" t="n"/>
      <c r="O55" s="7" t="n"/>
    </row>
    <row r="56">
      <c r="B56" s="7" t="n"/>
      <c r="C56" s="42" t="n"/>
      <c r="D56" s="7" t="n"/>
      <c r="E56" s="7" t="n"/>
      <c r="F56" s="7" t="n"/>
      <c r="G56" s="7" t="n"/>
      <c r="H56" s="7" t="n"/>
      <c r="I56" s="7" t="n"/>
      <c r="J56" s="42" t="n"/>
      <c r="K56" s="42" t="n"/>
      <c r="L56" s="7" t="n"/>
      <c r="M56" s="5">
        <f>IF(C56="","",IF(L56="Closed",IF(K56="",0,K56-C56),TODAY()-C56))</f>
        <v/>
      </c>
      <c r="N56" s="7" t="n"/>
      <c r="O56" s="7" t="n"/>
    </row>
    <row r="57">
      <c r="B57" s="7" t="n"/>
      <c r="C57" s="42" t="n"/>
      <c r="D57" s="7" t="n"/>
      <c r="E57" s="7" t="n"/>
      <c r="F57" s="7" t="n"/>
      <c r="G57" s="7" t="n"/>
      <c r="H57" s="7" t="n"/>
      <c r="I57" s="7" t="n"/>
      <c r="J57" s="42" t="n"/>
      <c r="K57" s="42" t="n"/>
      <c r="L57" s="7" t="n"/>
      <c r="M57" s="5">
        <f>IF(C57="","",IF(L57="Closed",IF(K57="",0,K57-C57),TODAY()-C57))</f>
        <v/>
      </c>
      <c r="N57" s="7" t="n"/>
      <c r="O57" s="7" t="n"/>
    </row>
    <row r="58">
      <c r="B58" s="7" t="n"/>
      <c r="C58" s="42" t="n"/>
      <c r="D58" s="7" t="n"/>
      <c r="E58" s="7" t="n"/>
      <c r="F58" s="7" t="n"/>
      <c r="G58" s="7" t="n"/>
      <c r="H58" s="7" t="n"/>
      <c r="I58" s="7" t="n"/>
      <c r="J58" s="42" t="n"/>
      <c r="K58" s="42" t="n"/>
      <c r="L58" s="7" t="n"/>
      <c r="M58" s="5">
        <f>IF(C58="","",IF(L58="Closed",IF(K58="",0,K58-C58),TODAY()-C58))</f>
        <v/>
      </c>
      <c r="N58" s="7" t="n"/>
      <c r="O58" s="7" t="n"/>
    </row>
    <row r="59">
      <c r="B59" s="7" t="n"/>
      <c r="C59" s="42" t="n"/>
      <c r="D59" s="7" t="n"/>
      <c r="E59" s="7" t="n"/>
      <c r="F59" s="7" t="n"/>
      <c r="G59" s="7" t="n"/>
      <c r="H59" s="7" t="n"/>
      <c r="I59" s="7" t="n"/>
      <c r="J59" s="42" t="n"/>
      <c r="K59" s="42" t="n"/>
      <c r="L59" s="7" t="n"/>
      <c r="M59" s="5">
        <f>IF(C59="","",IF(L59="Closed",IF(K59="",0,K59-C59),TODAY()-C59))</f>
        <v/>
      </c>
      <c r="N59" s="7" t="n"/>
      <c r="O59" s="7" t="n"/>
    </row>
    <row r="60">
      <c r="B60" s="7" t="n"/>
      <c r="C60" s="42" t="n"/>
      <c r="D60" s="7" t="n"/>
      <c r="E60" s="7" t="n"/>
      <c r="F60" s="7" t="n"/>
      <c r="G60" s="7" t="n"/>
      <c r="H60" s="7" t="n"/>
      <c r="I60" s="7" t="n"/>
      <c r="J60" s="42" t="n"/>
      <c r="K60" s="42" t="n"/>
      <c r="L60" s="7" t="n"/>
      <c r="M60" s="5">
        <f>IF(C60="","",IF(L60="Closed",IF(K60="",0,K60-C60),TODAY()-C60))</f>
        <v/>
      </c>
      <c r="N60" s="7" t="n"/>
      <c r="O60" s="7" t="n"/>
    </row>
    <row r="61">
      <c r="B61" s="7" t="n"/>
      <c r="C61" s="42" t="n"/>
      <c r="D61" s="7" t="n"/>
      <c r="E61" s="7" t="n"/>
      <c r="F61" s="7" t="n"/>
      <c r="G61" s="7" t="n"/>
      <c r="H61" s="7" t="n"/>
      <c r="I61" s="7" t="n"/>
      <c r="J61" s="42" t="n"/>
      <c r="K61" s="42" t="n"/>
      <c r="L61" s="7" t="n"/>
      <c r="M61" s="5">
        <f>IF(C61="","",IF(L61="Closed",IF(K61="",0,K61-C61),TODAY()-C61))</f>
        <v/>
      </c>
      <c r="N61" s="7" t="n"/>
      <c r="O61" s="7" t="n"/>
    </row>
    <row r="62">
      <c r="B62" s="7" t="n"/>
      <c r="C62" s="42" t="n"/>
      <c r="D62" s="7" t="n"/>
      <c r="E62" s="7" t="n"/>
      <c r="F62" s="7" t="n"/>
      <c r="G62" s="7" t="n"/>
      <c r="H62" s="7" t="n"/>
      <c r="I62" s="7" t="n"/>
      <c r="J62" s="42" t="n"/>
      <c r="K62" s="42" t="n"/>
      <c r="L62" s="7" t="n"/>
      <c r="M62" s="5">
        <f>IF(C62="","",IF(L62="Closed",IF(K62="",0,K62-C62),TODAY()-C62))</f>
        <v/>
      </c>
      <c r="N62" s="7" t="n"/>
      <c r="O62" s="7" t="n"/>
    </row>
    <row r="63">
      <c r="B63" s="7" t="n"/>
      <c r="C63" s="42" t="n"/>
      <c r="D63" s="7" t="n"/>
      <c r="E63" s="7" t="n"/>
      <c r="F63" s="7" t="n"/>
      <c r="G63" s="7" t="n"/>
      <c r="H63" s="7" t="n"/>
      <c r="I63" s="7" t="n"/>
      <c r="J63" s="42" t="n"/>
      <c r="K63" s="42" t="n"/>
      <c r="L63" s="7" t="n"/>
      <c r="M63" s="5">
        <f>IF(C63="","",IF(L63="Closed",IF(K63="",0,K63-C63),TODAY()-C63))</f>
        <v/>
      </c>
      <c r="N63" s="7" t="n"/>
      <c r="O63" s="7" t="n"/>
    </row>
    <row r="64">
      <c r="B64" s="7" t="n"/>
      <c r="C64" s="42" t="n"/>
      <c r="D64" s="7" t="n"/>
      <c r="E64" s="7" t="n"/>
      <c r="F64" s="7" t="n"/>
      <c r="G64" s="7" t="n"/>
      <c r="H64" s="7" t="n"/>
      <c r="I64" s="7" t="n"/>
      <c r="J64" s="42" t="n"/>
      <c r="K64" s="42" t="n"/>
      <c r="L64" s="7" t="n"/>
      <c r="M64" s="5">
        <f>IF(C64="","",IF(L64="Closed",IF(K64="",0,K64-C64),TODAY()-C64))</f>
        <v/>
      </c>
      <c r="N64" s="7" t="n"/>
      <c r="O64" s="7" t="n"/>
    </row>
    <row r="65">
      <c r="B65" s="7" t="n"/>
      <c r="C65" s="42" t="n"/>
      <c r="D65" s="7" t="n"/>
      <c r="E65" s="7" t="n"/>
      <c r="F65" s="7" t="n"/>
      <c r="G65" s="7" t="n"/>
      <c r="H65" s="7" t="n"/>
      <c r="I65" s="7" t="n"/>
      <c r="J65" s="42" t="n"/>
      <c r="K65" s="42" t="n"/>
      <c r="L65" s="7" t="n"/>
      <c r="M65" s="5">
        <f>IF(C65="","",IF(L65="Closed",IF(K65="",0,K65-C65),TODAY()-C65))</f>
        <v/>
      </c>
      <c r="N65" s="7" t="n"/>
      <c r="O65" s="7" t="n"/>
    </row>
    <row r="66">
      <c r="B66" s="7" t="n"/>
      <c r="C66" s="42" t="n"/>
      <c r="D66" s="7" t="n"/>
      <c r="E66" s="7" t="n"/>
      <c r="F66" s="7" t="n"/>
      <c r="G66" s="7" t="n"/>
      <c r="H66" s="7" t="n"/>
      <c r="I66" s="7" t="n"/>
      <c r="J66" s="42" t="n"/>
      <c r="K66" s="42" t="n"/>
      <c r="L66" s="7" t="n"/>
      <c r="M66" s="5">
        <f>IF(C66="","",IF(L66="Closed",IF(K66="",0,K66-C66),TODAY()-C66))</f>
        <v/>
      </c>
      <c r="N66" s="7" t="n"/>
      <c r="O66" s="7" t="n"/>
    </row>
    <row r="67">
      <c r="B67" s="7" t="n"/>
      <c r="C67" s="42" t="n"/>
      <c r="D67" s="7" t="n"/>
      <c r="E67" s="7" t="n"/>
      <c r="F67" s="7" t="n"/>
      <c r="G67" s="7" t="n"/>
      <c r="H67" s="7" t="n"/>
      <c r="I67" s="7" t="n"/>
      <c r="J67" s="42" t="n"/>
      <c r="K67" s="42" t="n"/>
      <c r="L67" s="7" t="n"/>
      <c r="M67" s="5">
        <f>IF(C67="","",IF(L67="Closed",IF(K67="",0,K67-C67),TODAY()-C67))</f>
        <v/>
      </c>
      <c r="N67" s="7" t="n"/>
      <c r="O67" s="7" t="n"/>
    </row>
    <row r="68">
      <c r="B68" s="7" t="n"/>
      <c r="C68" s="42" t="n"/>
      <c r="D68" s="7" t="n"/>
      <c r="E68" s="7" t="n"/>
      <c r="F68" s="7" t="n"/>
      <c r="G68" s="7" t="n"/>
      <c r="H68" s="7" t="n"/>
      <c r="I68" s="7" t="n"/>
      <c r="J68" s="42" t="n"/>
      <c r="K68" s="42" t="n"/>
      <c r="L68" s="7" t="n"/>
      <c r="M68" s="5">
        <f>IF(C68="","",IF(L68="Closed",IF(K68="",0,K68-C68),TODAY()-C68))</f>
        <v/>
      </c>
      <c r="N68" s="7" t="n"/>
      <c r="O68" s="7" t="n"/>
    </row>
    <row r="69">
      <c r="B69" s="7" t="n"/>
      <c r="C69" s="42" t="n"/>
      <c r="D69" s="7" t="n"/>
      <c r="E69" s="7" t="n"/>
      <c r="F69" s="7" t="n"/>
      <c r="G69" s="7" t="n"/>
      <c r="H69" s="7" t="n"/>
      <c r="I69" s="7" t="n"/>
      <c r="J69" s="42" t="n"/>
      <c r="K69" s="42" t="n"/>
      <c r="L69" s="7" t="n"/>
      <c r="M69" s="5">
        <f>IF(C69="","",IF(L69="Closed",IF(K69="",0,K69-C69),TODAY()-C69))</f>
        <v/>
      </c>
      <c r="N69" s="7" t="n"/>
      <c r="O69" s="7" t="n"/>
    </row>
    <row r="70">
      <c r="B70" s="7" t="n"/>
      <c r="C70" s="42" t="n"/>
      <c r="D70" s="7" t="n"/>
      <c r="E70" s="7" t="n"/>
      <c r="F70" s="7" t="n"/>
      <c r="G70" s="7" t="n"/>
      <c r="H70" s="7" t="n"/>
      <c r="I70" s="7" t="n"/>
      <c r="J70" s="42" t="n"/>
      <c r="K70" s="42" t="n"/>
      <c r="L70" s="7" t="n"/>
      <c r="M70" s="5">
        <f>IF(C70="","",IF(L70="Closed",IF(K70="",0,K70-C70),TODAY()-C70))</f>
        <v/>
      </c>
      <c r="N70" s="7" t="n"/>
      <c r="O70" s="7" t="n"/>
    </row>
    <row r="71">
      <c r="B71" s="7" t="n"/>
      <c r="C71" s="42" t="n"/>
      <c r="D71" s="7" t="n"/>
      <c r="E71" s="7" t="n"/>
      <c r="F71" s="7" t="n"/>
      <c r="G71" s="7" t="n"/>
      <c r="H71" s="7" t="n"/>
      <c r="I71" s="7" t="n"/>
      <c r="J71" s="42" t="n"/>
      <c r="K71" s="42" t="n"/>
      <c r="L71" s="7" t="n"/>
      <c r="M71" s="5">
        <f>IF(C71="","",IF(L71="Closed",IF(K71="",0,K71-C71),TODAY()-C71))</f>
        <v/>
      </c>
      <c r="N71" s="7" t="n"/>
      <c r="O71" s="7" t="n"/>
    </row>
    <row r="72">
      <c r="B72" s="7" t="n"/>
      <c r="C72" s="42" t="n"/>
      <c r="D72" s="7" t="n"/>
      <c r="E72" s="7" t="n"/>
      <c r="F72" s="7" t="n"/>
      <c r="G72" s="7" t="n"/>
      <c r="H72" s="7" t="n"/>
      <c r="I72" s="7" t="n"/>
      <c r="J72" s="42" t="n"/>
      <c r="K72" s="42" t="n"/>
      <c r="L72" s="7" t="n"/>
      <c r="M72" s="5">
        <f>IF(C72="","",IF(L72="Closed",IF(K72="",0,K72-C72),TODAY()-C72))</f>
        <v/>
      </c>
      <c r="N72" s="7" t="n"/>
      <c r="O72" s="7" t="n"/>
    </row>
    <row r="73">
      <c r="B73" s="7" t="n"/>
      <c r="C73" s="42" t="n"/>
      <c r="D73" s="7" t="n"/>
      <c r="E73" s="7" t="n"/>
      <c r="F73" s="7" t="n"/>
      <c r="G73" s="7" t="n"/>
      <c r="H73" s="7" t="n"/>
      <c r="I73" s="7" t="n"/>
      <c r="J73" s="42" t="n"/>
      <c r="K73" s="42" t="n"/>
      <c r="L73" s="7" t="n"/>
      <c r="M73" s="5">
        <f>IF(C73="","",IF(L73="Closed",IF(K73="",0,K73-C73),TODAY()-C73))</f>
        <v/>
      </c>
      <c r="N73" s="7" t="n"/>
      <c r="O73" s="7" t="n"/>
    </row>
    <row r="74">
      <c r="B74" s="7" t="n"/>
      <c r="C74" s="42" t="n"/>
      <c r="D74" s="7" t="n"/>
      <c r="E74" s="7" t="n"/>
      <c r="F74" s="7" t="n"/>
      <c r="G74" s="7" t="n"/>
      <c r="H74" s="7" t="n"/>
      <c r="I74" s="7" t="n"/>
      <c r="J74" s="42" t="n"/>
      <c r="K74" s="42" t="n"/>
      <c r="L74" s="7" t="n"/>
      <c r="M74" s="5">
        <f>IF(C74="","",IF(L74="Closed",IF(K74="",0,K74-C74),TODAY()-C74))</f>
        <v/>
      </c>
      <c r="N74" s="7" t="n"/>
      <c r="O74" s="7" t="n"/>
    </row>
    <row r="75">
      <c r="B75" s="7" t="n"/>
      <c r="C75" s="42" t="n"/>
      <c r="D75" s="7" t="n"/>
      <c r="E75" s="7" t="n"/>
      <c r="F75" s="7" t="n"/>
      <c r="G75" s="7" t="n"/>
      <c r="H75" s="7" t="n"/>
      <c r="I75" s="7" t="n"/>
      <c r="J75" s="42" t="n"/>
      <c r="K75" s="42" t="n"/>
      <c r="L75" s="7" t="n"/>
      <c r="M75" s="5">
        <f>IF(C75="","",IF(L75="Closed",IF(K75="",0,K75-C75),TODAY()-C75))</f>
        <v/>
      </c>
      <c r="N75" s="7" t="n"/>
      <c r="O75" s="7" t="n"/>
    </row>
    <row r="76">
      <c r="B76" s="7" t="n"/>
      <c r="C76" s="42" t="n"/>
      <c r="D76" s="7" t="n"/>
      <c r="E76" s="7" t="n"/>
      <c r="F76" s="7" t="n"/>
      <c r="G76" s="7" t="n"/>
      <c r="H76" s="7" t="n"/>
      <c r="I76" s="7" t="n"/>
      <c r="J76" s="42" t="n"/>
      <c r="K76" s="42" t="n"/>
      <c r="L76" s="7" t="n"/>
      <c r="M76" s="5">
        <f>IF(C76="","",IF(L76="Closed",IF(K76="",0,K76-C76),TODAY()-C76))</f>
        <v/>
      </c>
      <c r="N76" s="7" t="n"/>
      <c r="O76" s="7" t="n"/>
    </row>
    <row r="77">
      <c r="B77" s="7" t="n"/>
      <c r="C77" s="42" t="n"/>
      <c r="D77" s="7" t="n"/>
      <c r="E77" s="7" t="n"/>
      <c r="F77" s="7" t="n"/>
      <c r="G77" s="7" t="n"/>
      <c r="H77" s="7" t="n"/>
      <c r="I77" s="7" t="n"/>
      <c r="J77" s="42" t="n"/>
      <c r="K77" s="42" t="n"/>
      <c r="L77" s="7" t="n"/>
      <c r="M77" s="5">
        <f>IF(C77="","",IF(L77="Closed",IF(K77="",0,K77-C77),TODAY()-C77))</f>
        <v/>
      </c>
      <c r="N77" s="7" t="n"/>
      <c r="O77" s="7" t="n"/>
    </row>
    <row r="78">
      <c r="B78" s="7" t="n"/>
      <c r="C78" s="42" t="n"/>
      <c r="D78" s="7" t="n"/>
      <c r="E78" s="7" t="n"/>
      <c r="F78" s="7" t="n"/>
      <c r="G78" s="7" t="n"/>
      <c r="H78" s="7" t="n"/>
      <c r="I78" s="7" t="n"/>
      <c r="J78" s="42" t="n"/>
      <c r="K78" s="42" t="n"/>
      <c r="L78" s="7" t="n"/>
      <c r="M78" s="5">
        <f>IF(C78="","",IF(L78="Closed",IF(K78="",0,K78-C78),TODAY()-C78))</f>
        <v/>
      </c>
      <c r="N78" s="7" t="n"/>
      <c r="O78" s="7" t="n"/>
    </row>
    <row r="79">
      <c r="B79" s="7" t="n"/>
      <c r="C79" s="42" t="n"/>
      <c r="D79" s="7" t="n"/>
      <c r="E79" s="7" t="n"/>
      <c r="F79" s="7" t="n"/>
      <c r="G79" s="7" t="n"/>
      <c r="H79" s="7" t="n"/>
      <c r="I79" s="7" t="n"/>
      <c r="J79" s="42" t="n"/>
      <c r="K79" s="42" t="n"/>
      <c r="L79" s="7" t="n"/>
      <c r="M79" s="5">
        <f>IF(C79="","",IF(L79="Closed",IF(K79="",0,K79-C79),TODAY()-C79))</f>
        <v/>
      </c>
      <c r="N79" s="7" t="n"/>
      <c r="O79" s="7" t="n"/>
    </row>
  </sheetData>
  <mergeCells count="2">
    <mergeCell ref="A1:O1"/>
    <mergeCell ref="A2:O2"/>
  </mergeCells>
  <conditionalFormatting sqref="L5:L80">
    <cfRule type="expression" priority="1" dxfId="0">
      <formula>$L5="Open"</formula>
    </cfRule>
  </conditionalFormatting>
  <dataValidations count="3">
    <dataValidation sqref="L5:L80" showDropDown="0" showInputMessage="0" showErrorMessage="0" allowBlank="1" type="list">
      <formula1>=Lookups!$C$5:$C$8</formula1>
    </dataValidation>
    <dataValidation sqref="D5:D80" showDropDown="0" showInputMessage="0" showErrorMessage="0" allowBlank="1" type="list">
      <formula1>=Lookups!$E$5:$E$12</formula1>
    </dataValidation>
    <dataValidation sqref="I5:I80" showDropDown="0" showInputMessage="0" showErrorMessage="0" allowBlank="1" type="list">
      <formula1>=Lookups!$D$5:$D$8</formula1>
    </dataValidation>
  </dataValidations>
  <pageMargins left="0.75" right="0.75" top="1" bottom="1" header="0.5" footer="0.5"/>
  <pageSetup orientation="landscape" paperSize="9" fitToHeight="0" fitToWidth="1"/>
  <headerFooter>
    <oddHeader>&amp;LKAZ PP Expansion | EHS</oddHeader>
    <oddFooter>&amp;RConfidential |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27AE60"/>
    <outlinePr summaryBelow="1" summaryRight="1"/>
    <pageSetUpPr fitToPage="1"/>
  </sheetPr>
  <dimension ref="A1:N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6" customWidth="1" min="12" max="12"/>
    <col width="18" customWidth="1" min="13" max="13"/>
    <col width="22" customWidth="1" min="14" max="14"/>
  </cols>
  <sheetData>
    <row r="1" ht="32" customHeight="1">
      <c r="A1" s="1" t="inlineStr">
        <is>
          <t>06  |  SUBCONTRACTOR EHS SCORECARD</t>
        </is>
      </c>
    </row>
    <row r="2" ht="20" customHeight="1">
      <c r="A2" s="2" t="inlineStr">
        <is>
          <t>Automatic scoring from Observations, Incidents and NCRs. Baseline 100. Floor = Admin minimum.</t>
        </is>
      </c>
    </row>
    <row r="4">
      <c r="B4" s="9" t="inlineStr">
        <is>
          <t>Subcontractor</t>
        </is>
      </c>
      <c r="C4" s="9" t="inlineStr">
        <is>
          <t>Open OBS</t>
        </is>
      </c>
      <c r="D4" s="9" t="inlineStr">
        <is>
          <t>Overdue OBS</t>
        </is>
      </c>
      <c r="E4" s="9" t="inlineStr">
        <is>
          <t>Total OBS</t>
        </is>
      </c>
      <c r="F4" s="9" t="inlineStr">
        <is>
          <t>NCRs</t>
        </is>
      </c>
      <c r="G4" s="9" t="inlineStr">
        <is>
          <t>LTI</t>
        </is>
      </c>
      <c r="H4" s="9" t="inlineStr">
        <is>
          <t>Recordable</t>
        </is>
      </c>
      <c r="I4" s="9" t="inlineStr">
        <is>
          <t>Near Miss</t>
        </is>
      </c>
      <c r="J4" s="9" t="inlineStr">
        <is>
          <t>First Aid</t>
        </is>
      </c>
      <c r="K4" s="9" t="inlineStr">
        <is>
          <t>Raw Penalty/Bonus</t>
        </is>
      </c>
      <c r="L4" s="9" t="inlineStr">
        <is>
          <t>SCORE /100</t>
        </is>
      </c>
      <c r="M4" s="9" t="inlineStr">
        <is>
          <t>Band</t>
        </is>
      </c>
      <c r="N4" s="9" t="inlineStr">
        <is>
          <t>Trend / Comment</t>
        </is>
      </c>
    </row>
    <row r="5">
      <c r="B5" s="5">
        <f>Lookups!E5</f>
        <v/>
      </c>
      <c r="C5" s="5">
        <f>COUNTIFS(Observations!$G$5:$G$250,B5,Observations!$F$5:$F$250,"Open")+COUNTIFS(Observations!$G$5:$G$250,B5,Observations!$F$5:$F$250,"In Progress")</f>
        <v/>
      </c>
      <c r="D5" s="5">
        <f>COUNTIFS(Observations!$G$5:$G$250,B5,Observations!$O$5:$O$250,"&gt;0")</f>
        <v/>
      </c>
      <c r="E5" s="5">
        <f>COUNTIF(Observations!$G$5:$G$250,B5)</f>
        <v/>
      </c>
      <c r="F5" s="5">
        <f>COUNTIF(NCR!$D$5:$D$80,B5)</f>
        <v/>
      </c>
      <c r="G5" s="5">
        <f>COUNTIFS(Incidents!$G$5:$G$200,B5,Incidents!$M$5:$M$200,"Y")</f>
        <v/>
      </c>
      <c r="H5" s="5">
        <f>COUNTIFS(Incidents!$G$5:$G$200,B5,Incidents!$L$5:$L$200,"Y")</f>
        <v/>
      </c>
      <c r="I5" s="5">
        <f>COUNTIFS(Incidents!$G$5:$G$200,B5,Incidents!$E$5:$E$200,"Near Miss")</f>
        <v/>
      </c>
      <c r="J5" s="5">
        <f>COUNTIFS(Incidents!$G$5:$G$200,B5,Incidents!$E$5:$E$200,"First Aid")</f>
        <v/>
      </c>
      <c r="K5" s="5">
        <f>C5*Admin!$C$15+D5*Admin!$C$16+F5*Admin!$C$17+G5*Admin!$C$18+H5*Admin!$C$19+I5*Admin!$C$20</f>
        <v/>
      </c>
      <c r="L5" s="48">
        <f>MAX(Admin!$C$22,Admin!$C$21+K5)</f>
        <v/>
      </c>
      <c r="M5" s="5">
        <f>IF(L5&gt;=Admin!$C$36,"A — Excellent",IF(L5&gt;=Admin!$C$37,"B — Satisfactory",IF(L5&gt;=Admin!$C$38,"C — Needs Improvement","D — Unsatisfactory")))</f>
        <v/>
      </c>
      <c r="N5" s="7" t="inlineStr"/>
    </row>
    <row r="6">
      <c r="B6" s="5">
        <f>Lookups!E6</f>
        <v/>
      </c>
      <c r="C6" s="5">
        <f>COUNTIFS(Observations!$G$5:$G$250,B6,Observations!$F$5:$F$250,"Open")+COUNTIFS(Observations!$G$5:$G$250,B6,Observations!$F$5:$F$250,"In Progress")</f>
        <v/>
      </c>
      <c r="D6" s="5">
        <f>COUNTIFS(Observations!$G$5:$G$250,B6,Observations!$O$5:$O$250,"&gt;0")</f>
        <v/>
      </c>
      <c r="E6" s="5">
        <f>COUNTIF(Observations!$G$5:$G$250,B6)</f>
        <v/>
      </c>
      <c r="F6" s="5">
        <f>COUNTIF(NCR!$D$5:$D$80,B6)</f>
        <v/>
      </c>
      <c r="G6" s="5">
        <f>COUNTIFS(Incidents!$G$5:$G$200,B6,Incidents!$M$5:$M$200,"Y")</f>
        <v/>
      </c>
      <c r="H6" s="5">
        <f>COUNTIFS(Incidents!$G$5:$G$200,B6,Incidents!$L$5:$L$200,"Y")</f>
        <v/>
      </c>
      <c r="I6" s="5">
        <f>COUNTIFS(Incidents!$G$5:$G$200,B6,Incidents!$E$5:$E$200,"Near Miss")</f>
        <v/>
      </c>
      <c r="J6" s="5">
        <f>COUNTIFS(Incidents!$G$5:$G$200,B6,Incidents!$E$5:$E$200,"First Aid")</f>
        <v/>
      </c>
      <c r="K6" s="5">
        <f>C6*Admin!$C$15+D6*Admin!$C$16+F6*Admin!$C$17+G6*Admin!$C$18+H6*Admin!$C$19+I6*Admin!$C$20</f>
        <v/>
      </c>
      <c r="L6" s="48">
        <f>MAX(Admin!$C$22,Admin!$C$21+K6)</f>
        <v/>
      </c>
      <c r="M6" s="5">
        <f>IF(L6&gt;=Admin!$C$36,"A — Excellent",IF(L6&gt;=Admin!$C$37,"B — Satisfactory",IF(L6&gt;=Admin!$C$38,"C — Needs Improvement","D — Unsatisfactory")))</f>
        <v/>
      </c>
      <c r="N6" s="7" t="inlineStr"/>
    </row>
    <row r="7">
      <c r="B7" s="5">
        <f>Lookups!E7</f>
        <v/>
      </c>
      <c r="C7" s="5">
        <f>COUNTIFS(Observations!$G$5:$G$250,B7,Observations!$F$5:$F$250,"Open")+COUNTIFS(Observations!$G$5:$G$250,B7,Observations!$F$5:$F$250,"In Progress")</f>
        <v/>
      </c>
      <c r="D7" s="5">
        <f>COUNTIFS(Observations!$G$5:$G$250,B7,Observations!$O$5:$O$250,"&gt;0")</f>
        <v/>
      </c>
      <c r="E7" s="5">
        <f>COUNTIF(Observations!$G$5:$G$250,B7)</f>
        <v/>
      </c>
      <c r="F7" s="5">
        <f>COUNTIF(NCR!$D$5:$D$80,B7)</f>
        <v/>
      </c>
      <c r="G7" s="5">
        <f>COUNTIFS(Incidents!$G$5:$G$200,B7,Incidents!$M$5:$M$200,"Y")</f>
        <v/>
      </c>
      <c r="H7" s="5">
        <f>COUNTIFS(Incidents!$G$5:$G$200,B7,Incidents!$L$5:$L$200,"Y")</f>
        <v/>
      </c>
      <c r="I7" s="5">
        <f>COUNTIFS(Incidents!$G$5:$G$200,B7,Incidents!$E$5:$E$200,"Near Miss")</f>
        <v/>
      </c>
      <c r="J7" s="5">
        <f>COUNTIFS(Incidents!$G$5:$G$200,B7,Incidents!$E$5:$E$200,"First Aid")</f>
        <v/>
      </c>
      <c r="K7" s="5">
        <f>C7*Admin!$C$15+D7*Admin!$C$16+F7*Admin!$C$17+G7*Admin!$C$18+H7*Admin!$C$19+I7*Admin!$C$20</f>
        <v/>
      </c>
      <c r="L7" s="48">
        <f>MAX(Admin!$C$22,Admin!$C$21+K7)</f>
        <v/>
      </c>
      <c r="M7" s="5">
        <f>IF(L7&gt;=Admin!$C$36,"A — Excellent",IF(L7&gt;=Admin!$C$37,"B — Satisfactory",IF(L7&gt;=Admin!$C$38,"C — Needs Improvement","D — Unsatisfactory")))</f>
        <v/>
      </c>
      <c r="N7" s="7" t="inlineStr"/>
    </row>
    <row r="8">
      <c r="B8" s="5">
        <f>Lookups!E8</f>
        <v/>
      </c>
      <c r="C8" s="5">
        <f>COUNTIFS(Observations!$G$5:$G$250,B8,Observations!$F$5:$F$250,"Open")+COUNTIFS(Observations!$G$5:$G$250,B8,Observations!$F$5:$F$250,"In Progress")</f>
        <v/>
      </c>
      <c r="D8" s="5">
        <f>COUNTIFS(Observations!$G$5:$G$250,B8,Observations!$O$5:$O$250,"&gt;0")</f>
        <v/>
      </c>
      <c r="E8" s="5">
        <f>COUNTIF(Observations!$G$5:$G$250,B8)</f>
        <v/>
      </c>
      <c r="F8" s="5">
        <f>COUNTIF(NCR!$D$5:$D$80,B8)</f>
        <v/>
      </c>
      <c r="G8" s="5">
        <f>COUNTIFS(Incidents!$G$5:$G$200,B8,Incidents!$M$5:$M$200,"Y")</f>
        <v/>
      </c>
      <c r="H8" s="5">
        <f>COUNTIFS(Incidents!$G$5:$G$200,B8,Incidents!$L$5:$L$200,"Y")</f>
        <v/>
      </c>
      <c r="I8" s="5">
        <f>COUNTIFS(Incidents!$G$5:$G$200,B8,Incidents!$E$5:$E$200,"Near Miss")</f>
        <v/>
      </c>
      <c r="J8" s="5">
        <f>COUNTIFS(Incidents!$G$5:$G$200,B8,Incidents!$E$5:$E$200,"First Aid")</f>
        <v/>
      </c>
      <c r="K8" s="5">
        <f>C8*Admin!$C$15+D8*Admin!$C$16+F8*Admin!$C$17+G8*Admin!$C$18+H8*Admin!$C$19+I8*Admin!$C$20</f>
        <v/>
      </c>
      <c r="L8" s="48">
        <f>MAX(Admin!$C$22,Admin!$C$21+K8)</f>
        <v/>
      </c>
      <c r="M8" s="5">
        <f>IF(L8&gt;=Admin!$C$36,"A — Excellent",IF(L8&gt;=Admin!$C$37,"B — Satisfactory",IF(L8&gt;=Admin!$C$38,"C — Needs Improvement","D — Unsatisfactory")))</f>
        <v/>
      </c>
      <c r="N8" s="7" t="inlineStr"/>
    </row>
    <row r="9">
      <c r="B9" s="5">
        <f>Lookups!E9</f>
        <v/>
      </c>
      <c r="C9" s="5">
        <f>COUNTIFS(Observations!$G$5:$G$250,B9,Observations!$F$5:$F$250,"Open")+COUNTIFS(Observations!$G$5:$G$250,B9,Observations!$F$5:$F$250,"In Progress")</f>
        <v/>
      </c>
      <c r="D9" s="5">
        <f>COUNTIFS(Observations!$G$5:$G$250,B9,Observations!$O$5:$O$250,"&gt;0")</f>
        <v/>
      </c>
      <c r="E9" s="5">
        <f>COUNTIF(Observations!$G$5:$G$250,B9)</f>
        <v/>
      </c>
      <c r="F9" s="5">
        <f>COUNTIF(NCR!$D$5:$D$80,B9)</f>
        <v/>
      </c>
      <c r="G9" s="5">
        <f>COUNTIFS(Incidents!$G$5:$G$200,B9,Incidents!$M$5:$M$200,"Y")</f>
        <v/>
      </c>
      <c r="H9" s="5">
        <f>COUNTIFS(Incidents!$G$5:$G$200,B9,Incidents!$L$5:$L$200,"Y")</f>
        <v/>
      </c>
      <c r="I9" s="5">
        <f>COUNTIFS(Incidents!$G$5:$G$200,B9,Incidents!$E$5:$E$200,"Near Miss")</f>
        <v/>
      </c>
      <c r="J9" s="5">
        <f>COUNTIFS(Incidents!$G$5:$G$200,B9,Incidents!$E$5:$E$200,"First Aid")</f>
        <v/>
      </c>
      <c r="K9" s="5">
        <f>C9*Admin!$C$15+D9*Admin!$C$16+F9*Admin!$C$17+G9*Admin!$C$18+H9*Admin!$C$19+I9*Admin!$C$20</f>
        <v/>
      </c>
      <c r="L9" s="48">
        <f>MAX(Admin!$C$22,Admin!$C$21+K9)</f>
        <v/>
      </c>
      <c r="M9" s="5">
        <f>IF(L9&gt;=Admin!$C$36,"A — Excellent",IF(L9&gt;=Admin!$C$37,"B — Satisfactory",IF(L9&gt;=Admin!$C$38,"C — Needs Improvement","D — Unsatisfactory")))</f>
        <v/>
      </c>
      <c r="N9" s="7" t="inlineStr"/>
    </row>
    <row r="10">
      <c r="B10" s="5">
        <f>Lookups!E10</f>
        <v/>
      </c>
      <c r="C10" s="5">
        <f>COUNTIFS(Observations!$G$5:$G$250,B10,Observations!$F$5:$F$250,"Open")+COUNTIFS(Observations!$G$5:$G$250,B10,Observations!$F$5:$F$250,"In Progress")</f>
        <v/>
      </c>
      <c r="D10" s="5">
        <f>COUNTIFS(Observations!$G$5:$G$250,B10,Observations!$O$5:$O$250,"&gt;0")</f>
        <v/>
      </c>
      <c r="E10" s="5">
        <f>COUNTIF(Observations!$G$5:$G$250,B10)</f>
        <v/>
      </c>
      <c r="F10" s="5">
        <f>COUNTIF(NCR!$D$5:$D$80,B10)</f>
        <v/>
      </c>
      <c r="G10" s="5">
        <f>COUNTIFS(Incidents!$G$5:$G$200,B10,Incidents!$M$5:$M$200,"Y")</f>
        <v/>
      </c>
      <c r="H10" s="5">
        <f>COUNTIFS(Incidents!$G$5:$G$200,B10,Incidents!$L$5:$L$200,"Y")</f>
        <v/>
      </c>
      <c r="I10" s="5">
        <f>COUNTIFS(Incidents!$G$5:$G$200,B10,Incidents!$E$5:$E$200,"Near Miss")</f>
        <v/>
      </c>
      <c r="J10" s="5">
        <f>COUNTIFS(Incidents!$G$5:$G$200,B10,Incidents!$E$5:$E$200,"First Aid")</f>
        <v/>
      </c>
      <c r="K10" s="5">
        <f>C10*Admin!$C$15+D10*Admin!$C$16+F10*Admin!$C$17+G10*Admin!$C$18+H10*Admin!$C$19+I10*Admin!$C$20</f>
        <v/>
      </c>
      <c r="L10" s="48">
        <f>MAX(Admin!$C$22,Admin!$C$21+K10)</f>
        <v/>
      </c>
      <c r="M10" s="5">
        <f>IF(L10&gt;=Admin!$C$36,"A — Excellent",IF(L10&gt;=Admin!$C$37,"B — Satisfactory",IF(L10&gt;=Admin!$C$38,"C — Needs Improvement","D — Unsatisfactory")))</f>
        <v/>
      </c>
      <c r="N10" s="7" t="inlineStr"/>
    </row>
    <row r="11">
      <c r="B11" s="5">
        <f>Lookups!E11</f>
        <v/>
      </c>
      <c r="C11" s="5">
        <f>COUNTIFS(Observations!$G$5:$G$250,B11,Observations!$F$5:$F$250,"Open")+COUNTIFS(Observations!$G$5:$G$250,B11,Observations!$F$5:$F$250,"In Progress")</f>
        <v/>
      </c>
      <c r="D11" s="5">
        <f>COUNTIFS(Observations!$G$5:$G$250,B11,Observations!$O$5:$O$250,"&gt;0")</f>
        <v/>
      </c>
      <c r="E11" s="5">
        <f>COUNTIF(Observations!$G$5:$G$250,B11)</f>
        <v/>
      </c>
      <c r="F11" s="5">
        <f>COUNTIF(NCR!$D$5:$D$80,B11)</f>
        <v/>
      </c>
      <c r="G11" s="5">
        <f>COUNTIFS(Incidents!$G$5:$G$200,B11,Incidents!$M$5:$M$200,"Y")</f>
        <v/>
      </c>
      <c r="H11" s="5">
        <f>COUNTIFS(Incidents!$G$5:$G$200,B11,Incidents!$L$5:$L$200,"Y")</f>
        <v/>
      </c>
      <c r="I11" s="5">
        <f>COUNTIFS(Incidents!$G$5:$G$200,B11,Incidents!$E$5:$E$200,"Near Miss")</f>
        <v/>
      </c>
      <c r="J11" s="5">
        <f>COUNTIFS(Incidents!$G$5:$G$200,B11,Incidents!$E$5:$E$200,"First Aid")</f>
        <v/>
      </c>
      <c r="K11" s="5">
        <f>C11*Admin!$C$15+D11*Admin!$C$16+F11*Admin!$C$17+G11*Admin!$C$18+H11*Admin!$C$19+I11*Admin!$C$20</f>
        <v/>
      </c>
      <c r="L11" s="48">
        <f>MAX(Admin!$C$22,Admin!$C$21+K11)</f>
        <v/>
      </c>
      <c r="M11" s="5">
        <f>IF(L11&gt;=Admin!$C$36,"A — Excellent",IF(L11&gt;=Admin!$C$37,"B — Satisfactory",IF(L11&gt;=Admin!$C$38,"C — Needs Improvement","D — Unsatisfactory")))</f>
        <v/>
      </c>
      <c r="N11" s="7" t="inlineStr"/>
    </row>
    <row r="12">
      <c r="B12" s="5">
        <f>Lookups!E12</f>
        <v/>
      </c>
      <c r="C12" s="5">
        <f>COUNTIFS(Observations!$G$5:$G$250,B12,Observations!$F$5:$F$250,"Open")+COUNTIFS(Observations!$G$5:$G$250,B12,Observations!$F$5:$F$250,"In Progress")</f>
        <v/>
      </c>
      <c r="D12" s="5">
        <f>COUNTIFS(Observations!$G$5:$G$250,B12,Observations!$O$5:$O$250,"&gt;0")</f>
        <v/>
      </c>
      <c r="E12" s="5">
        <f>COUNTIF(Observations!$G$5:$G$250,B12)</f>
        <v/>
      </c>
      <c r="F12" s="5">
        <f>COUNTIF(NCR!$D$5:$D$80,B12)</f>
        <v/>
      </c>
      <c r="G12" s="5">
        <f>COUNTIFS(Incidents!$G$5:$G$200,B12,Incidents!$M$5:$M$200,"Y")</f>
        <v/>
      </c>
      <c r="H12" s="5">
        <f>COUNTIFS(Incidents!$G$5:$G$200,B12,Incidents!$L$5:$L$200,"Y")</f>
        <v/>
      </c>
      <c r="I12" s="5">
        <f>COUNTIFS(Incidents!$G$5:$G$200,B12,Incidents!$E$5:$E$200,"Near Miss")</f>
        <v/>
      </c>
      <c r="J12" s="5">
        <f>COUNTIFS(Incidents!$G$5:$G$200,B12,Incidents!$E$5:$E$200,"First Aid")</f>
        <v/>
      </c>
      <c r="K12" s="5">
        <f>C12*Admin!$C$15+D12*Admin!$C$16+F12*Admin!$C$17+G12*Admin!$C$18+H12*Admin!$C$19+I12*Admin!$C$20</f>
        <v/>
      </c>
      <c r="L12" s="48">
        <f>MAX(Admin!$C$22,Admin!$C$21+K12)</f>
        <v/>
      </c>
      <c r="M12" s="5">
        <f>IF(L12&gt;=Admin!$C$36,"A — Excellent",IF(L12&gt;=Admin!$C$37,"B — Satisfactory",IF(L12&gt;=Admin!$C$38,"C — Needs Improvement","D — Unsatisfactory")))</f>
        <v/>
      </c>
      <c r="N12" s="7" t="inlineStr"/>
    </row>
    <row r="32">
      <c r="B32" s="37" t="inlineStr">
        <is>
          <t>Scoring model: Start at Admin!C21 (default 100). Open OBS, Overdue, NCR, LTI, Recordable subtract points. Near Miss reporting adds points (positive reporting culture).</t>
        </is>
      </c>
    </row>
    <row r="33"/>
  </sheetData>
  <mergeCells count="3">
    <mergeCell ref="A2:N2"/>
    <mergeCell ref="B32:N33"/>
    <mergeCell ref="A1:N1"/>
  </mergeCells>
  <conditionalFormatting sqref="L5:L12">
    <cfRule type="colorScale" priority="1">
      <colorScale>
        <cfvo type="num" val="0"/>
        <cfvo type="num" val="75"/>
        <cfvo type="num" val="100"/>
        <color rgb="00C0392B"/>
        <color rgb="00F1C40F"/>
        <color rgb="001E8449"/>
      </colorScale>
    </cfRule>
  </conditionalFormatting>
  <conditionalFormatting sqref="M5:M12">
    <cfRule type="expression" priority="2" dxfId="1">
      <formula>LEFT($M5,1)="A"</formula>
    </cfRule>
    <cfRule type="expression" priority="3" dxfId="0">
      <formula>LEFT($M5,1)="D"</formula>
    </cfRule>
  </conditionalFormatting>
  <pageMargins left="0.75" right="0.75" top="1" bottom="1" header="0.5" footer="0.5"/>
  <pageSetup orientation="landscape" paperSize="9" fitToHeight="0" fitToWidth="1"/>
  <headerFooter>
    <oddHeader>&amp;LKAZ PP Expansion | EHS</oddHeader>
    <oddFooter>&amp;RConfidential |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2980B9"/>
    <outlinePr summaryBelow="1" summaryRight="1"/>
    <pageSetUpPr fitToPage="1"/>
  </sheetPr>
  <dimension ref="A1:H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55" customWidth="1" min="3" max="3"/>
    <col width="55" customWidth="1" min="4" max="4"/>
    <col width="40" customWidth="1" min="5" max="5"/>
    <col width="22" customWidth="1" min="6" max="6"/>
    <col width="18" customWidth="1" min="7" max="7"/>
    <col width="16" customWidth="1" min="8" max="8"/>
  </cols>
  <sheetData>
    <row r="1" ht="32" customHeight="1">
      <c r="A1" s="1" t="inlineStr">
        <is>
          <t>07  |  AI CORRECTIVE ACTION &amp; CONVERSION HUB</t>
        </is>
      </c>
    </row>
    <row r="2" ht="20" customHeight="1">
      <c r="A2" s="2" t="inlineStr">
        <is>
          <t>Paste raw notes in column C. VBA EHS_FormatObservation converts to official EHS wording + CAPA. Optional OpenAI API in Admin!C28.</t>
        </is>
      </c>
    </row>
    <row r="4">
      <c r="B4" s="49" t="inlineStr">
        <is>
          <t>HOW TO USE</t>
        </is>
      </c>
    </row>
    <row r="5">
      <c r="B5" s="50" t="inlineStr">
        <is>
          <t>1) Enter RAW note in C (yellow). 2) Select the row and run macro EHS_FormatObservation (or click after importing VBA). 3) Column D receives official bilingual-style EHS observation. Column E receives CAPA (Corrective &amp; Preventive). 4) If Admin API key is blank, a built-in rule engine (keywords: lift, scaffold, excav, confined, electrical, PTW, height, PPE) is used. 5) Copy D/E into Observations tracker.</t>
        </is>
      </c>
    </row>
    <row r="6"/>
    <row r="7"/>
    <row r="9">
      <c r="B9" s="9" t="inlineStr">
        <is>
          <t>CAPA-ID</t>
        </is>
      </c>
      <c r="C9" s="9" t="inlineStr">
        <is>
          <t>RAW NOTES (input)</t>
        </is>
      </c>
      <c r="D9" s="9" t="inlineStr">
        <is>
          <t>FORMATTED EHS OBSERVATION (output)</t>
        </is>
      </c>
      <c r="E9" s="9" t="inlineStr">
        <is>
          <t>CAPA — Corrective &amp; Preventive Action (output)</t>
        </is>
      </c>
      <c r="F9" s="9" t="inlineStr">
        <is>
          <t>Suggested Type</t>
        </is>
      </c>
      <c r="G9" s="9" t="inlineStr">
        <is>
          <t>Suggested Severity</t>
        </is>
      </c>
      <c r="H9" s="9" t="inlineStr">
        <is>
          <t>Push status</t>
        </is>
      </c>
    </row>
    <row r="10" ht="72" customHeight="1">
      <c r="B10" s="7" t="inlineStr">
        <is>
          <t>CAPA-001</t>
        </is>
      </c>
      <c r="C10" s="7" t="inlineStr">
        <is>
          <t>guys working on roof no harness and edge open next to boiler</t>
        </is>
      </c>
      <c r="D10" s="51">
        <f>IF(C10="","",IF(SUMPRODUCT(--ISNUMBER(SEARCH({"lift","crane","sling","rigging"},LOWER(C10))))&gt;0,"EHS Observation — Lifting Operations: Unsafe lifting practice observed. Load control / exclusion zone / lifting gear integrity not in accordance with project lifting procedure and PTW conditions. Immediate stop-work required until a documented lift plan and competent rigger/banksman are in place.",IF(SUMPRODUCT(--ISNUMBER(SEARCH({"scaffold","toeboard","tag"},LOWER(C10))))&gt;0,"EHS Observation — Scaffolding: Scaffold does not meet TG20/project standard (incomplete components / incorrect tagging). Scaffold shall be red-tagged and access prohibited until inspected by a competent scaffolder.",IF(SUMPRODUCT(--ISNUMBER(SEARCH({"excav","trench","shoring"},LOWER(C10))))&gt;0,"EHS Observation — Excavation: Excavation controls (shoring/battering, access, spoil distance, underground services) are not adequately implemented. Work shall stop until a CAT-scan, permit and shoring design are verified.",IF(SUMPRODUCT(--ISNUMBER(SEARCH({"confined","tank","vessel","gas test"},LOWER(C10))))&gt;0,"EHS Observation — Confined Space: Entry without atmospheric testing and attendant is a critical violation of the confined space procedure. Evacuate, isolate, gas-test and re-issue PTW before any re-entry.",IF(SUMPRODUCT(--ISNUMBER(SEARCH({"harness","height","edge","roof","ladder"},LOWER(C10))))&gt;0,"EHS Observation — Working at Height: Personnel exposed to an unprotected edge / without 100% tie-off. This is a life-saving rule breach. Stop work, establish exclusion, install collective protection and verified anchorage.",IF(SUMPRODUCT(--ISNUMBER(SEARCH({"electrical","cable","live","loto","11kv"},LOWER(C10))))&gt;0,"EHS Observation — Electrical: Work adjacent to live services without isolation/LOTO, barriers and a dedicated spotter. Energy isolation certificate and PTW must be in place before restart.",IF(SUMPRODUCT(--ISNUMBER(SEARCH({"ptw","permit"},LOWER(C10))))&gt;0,"EHS Observation — Work Permit: Activity ongoing with missing, expired or uncontrolled PTW. All work shall cease until a valid permit is issued, briefed and displayed at the workface.","EHS Observation: Unsafe act/condition identified on KAZ PP Expansion Project. The practice does not comply with the Project HSE Plan and applicable procedure. Stop and make safe; record in the observation tracker; assign owner and close-out date."))))))))</f>
        <v/>
      </c>
      <c r="E10" s="51">
        <f>IF(C10="","","1) CORRECTIVE: Stop work and make the area immediately safe; remove at-risk personnel. "&amp;"2) CONTAINMENT: Barricade, tag-out defective equipment, withdraw PTW if invalid. "&amp;"3) PREVENTIVE: Toolbox talk to the crew within 24h; competency verification; update JSA/lift plan; "&amp;"supervision presence increased for 72h; consider NCR if life-saving rule breached. "&amp;"4) VERIFY: EHS inspection before restart; close observation only with evidence (photo + signature).")</f>
        <v/>
      </c>
      <c r="F10" s="5">
        <f>IF(C10="","",IF(SUMPRODUCT(--ISNUMBER(SEARCH({"lift","crane","sling"},LOWER(C10))))&gt;0,"Lifting Operations",IF(SUMPRODUCT(--ISNUMBER(SEARCH({"scaffold"},LOWER(C10))))&gt;0,"Scaffolding",IF(SUMPRODUCT(--ISNUMBER(SEARCH({"excav","trench"},LOWER(C10))))&gt;0,"Excavation",IF(SUMPRODUCT(--ISNUMBER(SEARCH({"confined","tank","gas test"},LOWER(C10))))&gt;0,"Confined Space",IF(SUMPRODUCT(--ISNUMBER(SEARCH({"height","harness","roof","edge"},LOWER(C10))))&gt;0,"Working at Height",IF(SUMPRODUCT(--ISNUMBER(SEARCH({"electrical","cable","loto"},LOWER(C10))))&gt;0,"Electrical",IF(SUMPRODUCT(--ISNUMBER(SEARCH({"ptw","permit"},LOWER(C10))))&gt;0,"Work Permits / PTW","Other")))))))</f>
        <v/>
      </c>
      <c r="G10" s="5">
        <f>IF(C10="","",IF(SUMPRODUCT(--ISNUMBER(SEARCH({"confined","live","11kv","unprotected edge","no harness","no gas"},LOWER(C10))))&gt;0,"Critical",IF(SUMPRODUCT(--ISNUMBER(SEARCH({"scaffold","excav","lift","electrical","ptw"},LOWER(C10))))&gt;0,"High","Medium")))</f>
        <v/>
      </c>
      <c r="H10" s="7" t="inlineStr">
        <is>
          <t>Draft</t>
        </is>
      </c>
    </row>
    <row r="11" ht="72" customHeight="1">
      <c r="B11" s="7" t="inlineStr">
        <is>
          <t>CAPA-002</t>
        </is>
      </c>
      <c r="C11" s="7" t="inlineStr">
        <is>
          <t>excavator digging beside live 11kv cable no spotter ptw not on site</t>
        </is>
      </c>
      <c r="D11" s="51">
        <f>IF(C11="","",IF(SUMPRODUCT(--ISNUMBER(SEARCH({"lift","crane","sling","rigging"},LOWER(C11))))&gt;0,"EHS Observation — Lifting Operations: Unsafe lifting practice observed. Load control / exclusion zone / lifting gear integrity not in accordance with project lifting procedure and PTW conditions. Immediate stop-work required until a documented lift plan and competent rigger/banksman are in place.",IF(SUMPRODUCT(--ISNUMBER(SEARCH({"scaffold","toeboard","tag"},LOWER(C11))))&gt;0,"EHS Observation — Scaffolding: Scaffold does not meet TG20/project standard (incomplete components / incorrect tagging). Scaffold shall be red-tagged and access prohibited until inspected by a competent scaffolder.",IF(SUMPRODUCT(--ISNUMBER(SEARCH({"excav","trench","shoring"},LOWER(C11))))&gt;0,"EHS Observation — Excavation: Excavation controls (shoring/battering, access, spoil distance, underground services) are not adequately implemented. Work shall stop until a CAT-scan, permit and shoring design are verified.",IF(SUMPRODUCT(--ISNUMBER(SEARCH({"confined","tank","vessel","gas test"},LOWER(C11))))&gt;0,"EHS Observation — Confined Space: Entry without atmospheric testing and attendant is a critical violation of the confined space procedure. Evacuate, isolate, gas-test and re-issue PTW before any re-entry.",IF(SUMPRODUCT(--ISNUMBER(SEARCH({"harness","height","edge","roof","ladder"},LOWER(C11))))&gt;0,"EHS Observation — Working at Height: Personnel exposed to an unprotected edge / without 100% tie-off. This is a life-saving rule breach. Stop work, establish exclusion, install collective protection and verified anchorage.",IF(SUMPRODUCT(--ISNUMBER(SEARCH({"electrical","cable","live","loto","11kv"},LOWER(C11))))&gt;0,"EHS Observation — Electrical: Work adjacent to live services without isolation/LOTO, barriers and a dedicated spotter. Energy isolation certificate and PTW must be in place before restart.",IF(SUMPRODUCT(--ISNUMBER(SEARCH({"ptw","permit"},LOWER(C11))))&gt;0,"EHS Observation — Work Permit: Activity ongoing with missing, expired or uncontrolled PTW. All work shall cease until a valid permit is issued, briefed and displayed at the workface.","EHS Observation: Unsafe act/condition identified on KAZ PP Expansion Project. The practice does not comply with the Project HSE Plan and applicable procedure. Stop and make safe; record in the observation tracker; assign owner and close-out date."))))))))</f>
        <v/>
      </c>
      <c r="E11" s="51">
        <f>IF(C11="","","1) CORRECTIVE: Stop work and make the area immediately safe; remove at-risk personnel. "&amp;"2) CONTAINMENT: Barricade, tag-out defective equipment, withdraw PTW if invalid. "&amp;"3) PREVENTIVE: Toolbox talk to the crew within 24h; competency verification; update JSA/lift plan; "&amp;"supervision presence increased for 72h; consider NCR if life-saving rule breached. "&amp;"4) VERIFY: EHS inspection before restart; close observation only with evidence (photo + signature).")</f>
        <v/>
      </c>
      <c r="F11" s="5">
        <f>IF(C11="","",IF(SUMPRODUCT(--ISNUMBER(SEARCH({"lift","crane","sling"},LOWER(C11))))&gt;0,"Lifting Operations",IF(SUMPRODUCT(--ISNUMBER(SEARCH({"scaffold"},LOWER(C11))))&gt;0,"Scaffolding",IF(SUMPRODUCT(--ISNUMBER(SEARCH({"excav","trench"},LOWER(C11))))&gt;0,"Excavation",IF(SUMPRODUCT(--ISNUMBER(SEARCH({"confined","tank","gas test"},LOWER(C11))))&gt;0,"Confined Space",IF(SUMPRODUCT(--ISNUMBER(SEARCH({"height","harness","roof","edge"},LOWER(C11))))&gt;0,"Working at Height",IF(SUMPRODUCT(--ISNUMBER(SEARCH({"electrical","cable","loto"},LOWER(C11))))&gt;0,"Electrical",IF(SUMPRODUCT(--ISNUMBER(SEARCH({"ptw","permit"},LOWER(C11))))&gt;0,"Work Permits / PTW","Other")))))))</f>
        <v/>
      </c>
      <c r="G11" s="5">
        <f>IF(C11="","",IF(SUMPRODUCT(--ISNUMBER(SEARCH({"confined","live","11kv","unprotected edge","no harness","no gas"},LOWER(C11))))&gt;0,"Critical",IF(SUMPRODUCT(--ISNUMBER(SEARCH({"scaffold","excav","lift","electrical","ptw"},LOWER(C11))))&gt;0,"High","Medium")))</f>
        <v/>
      </c>
      <c r="H11" s="7" t="inlineStr">
        <is>
          <t>Draft</t>
        </is>
      </c>
    </row>
    <row r="12" ht="72" customHeight="1">
      <c r="B12" s="7" t="inlineStr">
        <is>
          <t>CAPA-003</t>
        </is>
      </c>
      <c r="C12" s="7" t="inlineStr">
        <is>
          <t>sling colour code expired and tag line missing tandem lift</t>
        </is>
      </c>
      <c r="D12" s="51">
        <f>IF(C12="","",IF(SUMPRODUCT(--ISNUMBER(SEARCH({"lift","crane","sling","rigging"},LOWER(C12))))&gt;0,"EHS Observation — Lifting Operations: Unsafe lifting practice observed. Load control / exclusion zone / lifting gear integrity not in accordance with project lifting procedure and PTW conditions. Immediate stop-work required until a documented lift plan and competent rigger/banksman are in place.",IF(SUMPRODUCT(--ISNUMBER(SEARCH({"scaffold","toeboard","tag"},LOWER(C12))))&gt;0,"EHS Observation — Scaffolding: Scaffold does not meet TG20/project standard (incomplete components / incorrect tagging). Scaffold shall be red-tagged and access prohibited until inspected by a competent scaffolder.",IF(SUMPRODUCT(--ISNUMBER(SEARCH({"excav","trench","shoring"},LOWER(C12))))&gt;0,"EHS Observation — Excavation: Excavation controls (shoring/battering, access, spoil distance, underground services) are not adequately implemented. Work shall stop until a CAT-scan, permit and shoring design are verified.",IF(SUMPRODUCT(--ISNUMBER(SEARCH({"confined","tank","vessel","gas test"},LOWER(C12))))&gt;0,"EHS Observation — Confined Space: Entry without atmospheric testing and attendant is a critical violation of the confined space procedure. Evacuate, isolate, gas-test and re-issue PTW before any re-entry.",IF(SUMPRODUCT(--ISNUMBER(SEARCH({"harness","height","edge","roof","ladder"},LOWER(C12))))&gt;0,"EHS Observation — Working at Height: Personnel exposed to an unprotected edge / without 100% tie-off. This is a life-saving rule breach. Stop work, establish exclusion, install collective protection and verified anchorage.",IF(SUMPRODUCT(--ISNUMBER(SEARCH({"electrical","cable","live","loto","11kv"},LOWER(C12))))&gt;0,"EHS Observation — Electrical: Work adjacent to live services without isolation/LOTO, barriers and a dedicated spotter. Energy isolation certificate and PTW must be in place before restart.",IF(SUMPRODUCT(--ISNUMBER(SEARCH({"ptw","permit"},LOWER(C12))))&gt;0,"EHS Observation — Work Permit: Activity ongoing with missing, expired or uncontrolled PTW. All work shall cease until a valid permit is issued, briefed and displayed at the workface.","EHS Observation: Unsafe act/condition identified on KAZ PP Expansion Project. The practice does not comply with the Project HSE Plan and applicable procedure. Stop and make safe; record in the observation tracker; assign owner and close-out date."))))))))</f>
        <v/>
      </c>
      <c r="E12" s="51">
        <f>IF(C12="","","1) CORRECTIVE: Stop work and make the area immediately safe; remove at-risk personnel. "&amp;"2) CONTAINMENT: Barricade, tag-out defective equipment, withdraw PTW if invalid. "&amp;"3) PREVENTIVE: Toolbox talk to the crew within 24h; competency verification; update JSA/lift plan; "&amp;"supervision presence increased for 72h; consider NCR if life-saving rule breached. "&amp;"4) VERIFY: EHS inspection before restart; close observation only with evidence (photo + signature).")</f>
        <v/>
      </c>
      <c r="F12" s="5">
        <f>IF(C12="","",IF(SUMPRODUCT(--ISNUMBER(SEARCH({"lift","crane","sling"},LOWER(C12))))&gt;0,"Lifting Operations",IF(SUMPRODUCT(--ISNUMBER(SEARCH({"scaffold"},LOWER(C12))))&gt;0,"Scaffolding",IF(SUMPRODUCT(--ISNUMBER(SEARCH({"excav","trench"},LOWER(C12))))&gt;0,"Excavation",IF(SUMPRODUCT(--ISNUMBER(SEARCH({"confined","tank","gas test"},LOWER(C12))))&gt;0,"Confined Space",IF(SUMPRODUCT(--ISNUMBER(SEARCH({"height","harness","roof","edge"},LOWER(C12))))&gt;0,"Working at Height",IF(SUMPRODUCT(--ISNUMBER(SEARCH({"electrical","cable","loto"},LOWER(C12))))&gt;0,"Electrical",IF(SUMPRODUCT(--ISNUMBER(SEARCH({"ptw","permit"},LOWER(C12))))&gt;0,"Work Permits / PTW","Other")))))))</f>
        <v/>
      </c>
      <c r="G12" s="5">
        <f>IF(C12="","",IF(SUMPRODUCT(--ISNUMBER(SEARCH({"confined","live","11kv","unprotected edge","no harness","no gas"},LOWER(C12))))&gt;0,"Critical",IF(SUMPRODUCT(--ISNUMBER(SEARCH({"scaffold","excav","lift","electrical","ptw"},LOWER(C12))))&gt;0,"High","Medium")))</f>
        <v/>
      </c>
      <c r="H12" s="7" t="inlineStr">
        <is>
          <t>Draft</t>
        </is>
      </c>
    </row>
    <row r="13" ht="72" customHeight="1">
      <c r="B13" s="7" t="inlineStr">
        <is>
          <t>CAPA-004</t>
        </is>
      </c>
      <c r="C13" s="7" t="inlineStr">
        <is>
          <t>confined tank someone went in no gas test no standby man</t>
        </is>
      </c>
      <c r="D13" s="51">
        <f>IF(C13="","",IF(SUMPRODUCT(--ISNUMBER(SEARCH({"lift","crane","sling","rigging"},LOWER(C13))))&gt;0,"EHS Observation — Lifting Operations: Unsafe lifting practice observed. Load control / exclusion zone / lifting gear integrity not in accordance with project lifting procedure and PTW conditions. Immediate stop-work required until a documented lift plan and competent rigger/banksman are in place.",IF(SUMPRODUCT(--ISNUMBER(SEARCH({"scaffold","toeboard","tag"},LOWER(C13))))&gt;0,"EHS Observation — Scaffolding: Scaffold does not meet TG20/project standard (incomplete components / incorrect tagging). Scaffold shall be red-tagged and access prohibited until inspected by a competent scaffolder.",IF(SUMPRODUCT(--ISNUMBER(SEARCH({"excav","trench","shoring"},LOWER(C13))))&gt;0,"EHS Observation — Excavation: Excavation controls (shoring/battering, access, spoil distance, underground services) are not adequately implemented. Work shall stop until a CAT-scan, permit and shoring design are verified.",IF(SUMPRODUCT(--ISNUMBER(SEARCH({"confined","tank","vessel","gas test"},LOWER(C13))))&gt;0,"EHS Observation — Confined Space: Entry without atmospheric testing and attendant is a critical violation of the confined space procedure. Evacuate, isolate, gas-test and re-issue PTW before any re-entry.",IF(SUMPRODUCT(--ISNUMBER(SEARCH({"harness","height","edge","roof","ladder"},LOWER(C13))))&gt;0,"EHS Observation — Working at Height: Personnel exposed to an unprotected edge / without 100% tie-off. This is a life-saving rule breach. Stop work, establish exclusion, install collective protection and verified anchorage.",IF(SUMPRODUCT(--ISNUMBER(SEARCH({"electrical","cable","live","loto","11kv"},LOWER(C13))))&gt;0,"EHS Observation — Electrical: Work adjacent to live services without isolation/LOTO, barriers and a dedicated spotter. Energy isolation certificate and PTW must be in place before restart.",IF(SUMPRODUCT(--ISNUMBER(SEARCH({"ptw","permit"},LOWER(C13))))&gt;0,"EHS Observation — Work Permit: Activity ongoing with missing, expired or uncontrolled PTW. All work shall cease until a valid permit is issued, briefed and displayed at the workface.","EHS Observation: Unsafe act/condition identified on KAZ PP Expansion Project. The practice does not comply with the Project HSE Plan and applicable procedure. Stop and make safe; record in the observation tracker; assign owner and close-out date."))))))))</f>
        <v/>
      </c>
      <c r="E13" s="51">
        <f>IF(C13="","","1) CORRECTIVE: Stop work and make the area immediately safe; remove at-risk personnel. "&amp;"2) CONTAINMENT: Barricade, tag-out defective equipment, withdraw PTW if invalid. "&amp;"3) PREVENTIVE: Toolbox talk to the crew within 24h; competency verification; update JSA/lift plan; "&amp;"supervision presence increased for 72h; consider NCR if life-saving rule breached. "&amp;"4) VERIFY: EHS inspection before restart; close observation only with evidence (photo + signature).")</f>
        <v/>
      </c>
      <c r="F13" s="5">
        <f>IF(C13="","",IF(SUMPRODUCT(--ISNUMBER(SEARCH({"lift","crane","sling"},LOWER(C13))))&gt;0,"Lifting Operations",IF(SUMPRODUCT(--ISNUMBER(SEARCH({"scaffold"},LOWER(C13))))&gt;0,"Scaffolding",IF(SUMPRODUCT(--ISNUMBER(SEARCH({"excav","trench"},LOWER(C13))))&gt;0,"Excavation",IF(SUMPRODUCT(--ISNUMBER(SEARCH({"confined","tank","gas test"},LOWER(C13))))&gt;0,"Confined Space",IF(SUMPRODUCT(--ISNUMBER(SEARCH({"height","harness","roof","edge"},LOWER(C13))))&gt;0,"Working at Height",IF(SUMPRODUCT(--ISNUMBER(SEARCH({"electrical","cable","loto"},LOWER(C13))))&gt;0,"Electrical",IF(SUMPRODUCT(--ISNUMBER(SEARCH({"ptw","permit"},LOWER(C13))))&gt;0,"Work Permits / PTW","Other")))))))</f>
        <v/>
      </c>
      <c r="G13" s="5">
        <f>IF(C13="","",IF(SUMPRODUCT(--ISNUMBER(SEARCH({"confined","live","11kv","unprotected edge","no harness","no gas"},LOWER(C13))))&gt;0,"Critical",IF(SUMPRODUCT(--ISNUMBER(SEARCH({"scaffold","excav","lift","electrical","ptw"},LOWER(C13))))&gt;0,"High","Medium")))</f>
        <v/>
      </c>
      <c r="H13" s="7" t="inlineStr">
        <is>
          <t>Draft</t>
        </is>
      </c>
    </row>
    <row r="14" ht="72" customHeight="1">
      <c r="B14" s="7" t="inlineStr">
        <is>
          <t>CAPA-005</t>
        </is>
      </c>
      <c r="C14" s="7" t="inlineStr">
        <is>
          <t>scaffold green tag but no toeboard and missing ties</t>
        </is>
      </c>
      <c r="D14" s="51">
        <f>IF(C14="","",IF(SUMPRODUCT(--ISNUMBER(SEARCH({"lift","crane","sling","rigging"},LOWER(C14))))&gt;0,"EHS Observation — Lifting Operations: Unsafe lifting practice observed. Load control / exclusion zone / lifting gear integrity not in accordance with project lifting procedure and PTW conditions. Immediate stop-work required until a documented lift plan and competent rigger/banksman are in place.",IF(SUMPRODUCT(--ISNUMBER(SEARCH({"scaffold","toeboard","tag"},LOWER(C14))))&gt;0,"EHS Observation — Scaffolding: Scaffold does not meet TG20/project standard (incomplete components / incorrect tagging). Scaffold shall be red-tagged and access prohibited until inspected by a competent scaffolder.",IF(SUMPRODUCT(--ISNUMBER(SEARCH({"excav","trench","shoring"},LOWER(C14))))&gt;0,"EHS Observation — Excavation: Excavation controls (shoring/battering, access, spoil distance, underground services) are not adequately implemented. Work shall stop until a CAT-scan, permit and shoring design are verified.",IF(SUMPRODUCT(--ISNUMBER(SEARCH({"confined","tank","vessel","gas test"},LOWER(C14))))&gt;0,"EHS Observation — Confined Space: Entry without atmospheric testing and attendant is a critical violation of the confined space procedure. Evacuate, isolate, gas-test and re-issue PTW before any re-entry.",IF(SUMPRODUCT(--ISNUMBER(SEARCH({"harness","height","edge","roof","ladder"},LOWER(C14))))&gt;0,"EHS Observation — Working at Height: Personnel exposed to an unprotected edge / without 100% tie-off. This is a life-saving rule breach. Stop work, establish exclusion, install collective protection and verified anchorage.",IF(SUMPRODUCT(--ISNUMBER(SEARCH({"electrical","cable","live","loto","11kv"},LOWER(C14))))&gt;0,"EHS Observation — Electrical: Work adjacent to live services without isolation/LOTO, barriers and a dedicated spotter. Energy isolation certificate and PTW must be in place before restart.",IF(SUMPRODUCT(--ISNUMBER(SEARCH({"ptw","permit"},LOWER(C14))))&gt;0,"EHS Observation — Work Permit: Activity ongoing with missing, expired or uncontrolled PTW. All work shall cease until a valid permit is issued, briefed and displayed at the workface.","EHS Observation: Unsafe act/condition identified on KAZ PP Expansion Project. The practice does not comply with the Project HSE Plan and applicable procedure. Stop and make safe; record in the observation tracker; assign owner and close-out date."))))))))</f>
        <v/>
      </c>
      <c r="E14" s="51">
        <f>IF(C14="","","1) CORRECTIVE: Stop work and make the area immediately safe; remove at-risk personnel. "&amp;"2) CONTAINMENT: Barricade, tag-out defective equipment, withdraw PTW if invalid. "&amp;"3) PREVENTIVE: Toolbox talk to the crew within 24h; competency verification; update JSA/lift plan; "&amp;"supervision presence increased for 72h; consider NCR if life-saving rule breached. "&amp;"4) VERIFY: EHS inspection before restart; close observation only with evidence (photo + signature).")</f>
        <v/>
      </c>
      <c r="F14" s="5">
        <f>IF(C14="","",IF(SUMPRODUCT(--ISNUMBER(SEARCH({"lift","crane","sling"},LOWER(C14))))&gt;0,"Lifting Operations",IF(SUMPRODUCT(--ISNUMBER(SEARCH({"scaffold"},LOWER(C14))))&gt;0,"Scaffolding",IF(SUMPRODUCT(--ISNUMBER(SEARCH({"excav","trench"},LOWER(C14))))&gt;0,"Excavation",IF(SUMPRODUCT(--ISNUMBER(SEARCH({"confined","tank","gas test"},LOWER(C14))))&gt;0,"Confined Space",IF(SUMPRODUCT(--ISNUMBER(SEARCH({"height","harness","roof","edge"},LOWER(C14))))&gt;0,"Working at Height",IF(SUMPRODUCT(--ISNUMBER(SEARCH({"electrical","cable","loto"},LOWER(C14))))&gt;0,"Electrical",IF(SUMPRODUCT(--ISNUMBER(SEARCH({"ptw","permit"},LOWER(C14))))&gt;0,"Work Permits / PTW","Other")))))))</f>
        <v/>
      </c>
      <c r="G14" s="5">
        <f>IF(C14="","",IF(SUMPRODUCT(--ISNUMBER(SEARCH({"confined","live","11kv","unprotected edge","no harness","no gas"},LOWER(C14))))&gt;0,"Critical",IF(SUMPRODUCT(--ISNUMBER(SEARCH({"scaffold","excav","lift","electrical","ptw"},LOWER(C14))))&gt;0,"High","Medium")))</f>
        <v/>
      </c>
      <c r="H14" s="7" t="inlineStr">
        <is>
          <t>Draft</t>
        </is>
      </c>
    </row>
    <row r="15" ht="48" customHeight="1">
      <c r="B15" s="7" t="n"/>
      <c r="C15" s="7" t="n"/>
      <c r="D15" s="5">
        <f>IF(C15="","",IF(SUMPRODUCT(--ISNUMBER(SEARCH({"lift","crane","sling","rigging"},LOWER(C15))))&gt;0,"EHS Observation — Lifting Operations: Unsafe lifting practice observed. Stop-work until lift plan and competent rigger are verified.",IF(SUMPRODUCT(--ISNUMBER(SEARCH({"scaffold"},LOWER(C15))))&gt;0,"EHS Observation — Scaffolding: Incomplete/incorrectly tagged scaffold. Red-tag and prohibit access.",IF(SUMPRODUCT(--ISNUMBER(SEARCH({"excav","trench"},LOWER(C15))))&gt;0,"EHS Observation — Excavation: Inadequate excavation controls. Stop until shoring/services verified.",IF(SUMPRODUCT(--ISNUMBER(SEARCH({"confined","tank","gas test"},LOWER(C15))))&gt;0,"EHS Observation — Confined Space: Uncontrolled entry. Evacuate and re-issue CS PTW.",IF(SUMPRODUCT(--ISNUMBER(SEARCH({"harness","height","edge","roof"},LOWER(C15))))&gt;0,"EHS Observation — Working at Height: Unprotected edge / no 100% tie-off. Life-saving rule breach.",IF(SUMPRODUCT(--ISNUMBER(SEARCH({"electrical","cable","loto"},LOWER(C15))))&gt;0,"EHS Observation — Electrical: Live services without isolation/LOTO.",IF(SUMPRODUCT(--ISNUMBER(SEARCH({"ptw","permit"},LOWER(C15))))&gt;0,"EHS Observation — Work Permit: Missing or expired PTW.","EHS Observation: Unsafe act/condition — make safe and record in tracker."))))))))</f>
        <v/>
      </c>
      <c r="E15" s="5">
        <f>IF(C15="","","1) CORRECTIVE: Stop &amp; make safe. 2) CONTAINMENT: Barricade/tag-out. 3) PREVENTIVE: TBT 24h + JSA update + competency check. 4) VERIFY: EHS restart inspection with evidence.")</f>
        <v/>
      </c>
      <c r="F15" s="5">
        <f>IF(C15="","",IF(SUMPRODUCT(--ISNUMBER(SEARCH({"lift","crane","sling"},LOWER(C15))))&gt;0,"Lifting Operations",IF(SUMPRODUCT(--ISNUMBER(SEARCH({"scaffold"},LOWER(C15))))&gt;0,"Scaffolding",IF(SUMPRODUCT(--ISNUMBER(SEARCH({"excav"},LOWER(C15))))&gt;0,"Excavation",IF(SUMPRODUCT(--ISNUMBER(SEARCH({"confined","tank"},LOWER(C15))))&gt;0,"Confined Space",IF(SUMPRODUCT(--ISNUMBER(SEARCH({"height","harness","roof"},LOWER(C15))))&gt;0,"Working at Height",IF(SUMPRODUCT(--ISNUMBER(SEARCH({"electrical","loto","cable"},LOWER(C15))))&gt;0,"Electrical",IF(SUMPRODUCT(--ISNUMBER(SEARCH({"ptw","permit"},LOWER(C15))))&gt;0,"Work Permits / PTW","Other")))))))</f>
        <v/>
      </c>
      <c r="G15" s="5">
        <f>IF(C15="","",IF(SUMPRODUCT(--ISNUMBER(SEARCH({"confined","live","no harness","gas"},LOWER(C15))))&gt;0,"Critical",IF(SUMPRODUCT(--ISNUMBER(SEARCH({"scaffold","excav","lift","electrical","ptw"},LOWER(C15))))&gt;0,"High","Medium")))</f>
        <v/>
      </c>
      <c r="H15" s="7" t="n"/>
    </row>
    <row r="16" ht="48" customHeight="1">
      <c r="B16" s="7" t="n"/>
      <c r="C16" s="7" t="n"/>
      <c r="D16" s="5">
        <f>IF(C16="","",IF(SUMPRODUCT(--ISNUMBER(SEARCH({"lift","crane","sling","rigging"},LOWER(C16))))&gt;0,"EHS Observation — Lifting Operations: Unsafe lifting practice observed. Stop-work until lift plan and competent rigger are verified.",IF(SUMPRODUCT(--ISNUMBER(SEARCH({"scaffold"},LOWER(C16))))&gt;0,"EHS Observation — Scaffolding: Incomplete/incorrectly tagged scaffold. Red-tag and prohibit access.",IF(SUMPRODUCT(--ISNUMBER(SEARCH({"excav","trench"},LOWER(C16))))&gt;0,"EHS Observation — Excavation: Inadequate excavation controls. Stop until shoring/services verified.",IF(SUMPRODUCT(--ISNUMBER(SEARCH({"confined","tank","gas test"},LOWER(C16))))&gt;0,"EHS Observation — Confined Space: Uncontrolled entry. Evacuate and re-issue CS PTW.",IF(SUMPRODUCT(--ISNUMBER(SEARCH({"harness","height","edge","roof"},LOWER(C16))))&gt;0,"EHS Observation — Working at Height: Unprotected edge / no 100% tie-off. Life-saving rule breach.",IF(SUMPRODUCT(--ISNUMBER(SEARCH({"electrical","cable","loto"},LOWER(C16))))&gt;0,"EHS Observation — Electrical: Live services without isolation/LOTO.",IF(SUMPRODUCT(--ISNUMBER(SEARCH({"ptw","permit"},LOWER(C16))))&gt;0,"EHS Observation — Work Permit: Missing or expired PTW.","EHS Observation: Unsafe act/condition — make safe and record in tracker."))))))))</f>
        <v/>
      </c>
      <c r="E16" s="5">
        <f>IF(C16="","","1) CORRECTIVE: Stop &amp; make safe. 2) CONTAINMENT: Barricade/tag-out. 3) PREVENTIVE: TBT 24h + JSA update + competency check. 4) VERIFY: EHS restart inspection with evidence.")</f>
        <v/>
      </c>
      <c r="F16" s="5">
        <f>IF(C16="","",IF(SUMPRODUCT(--ISNUMBER(SEARCH({"lift","crane","sling"},LOWER(C16))))&gt;0,"Lifting Operations",IF(SUMPRODUCT(--ISNUMBER(SEARCH({"scaffold"},LOWER(C16))))&gt;0,"Scaffolding",IF(SUMPRODUCT(--ISNUMBER(SEARCH({"excav"},LOWER(C16))))&gt;0,"Excavation",IF(SUMPRODUCT(--ISNUMBER(SEARCH({"confined","tank"},LOWER(C16))))&gt;0,"Confined Space",IF(SUMPRODUCT(--ISNUMBER(SEARCH({"height","harness","roof"},LOWER(C16))))&gt;0,"Working at Height",IF(SUMPRODUCT(--ISNUMBER(SEARCH({"electrical","loto","cable"},LOWER(C16))))&gt;0,"Electrical",IF(SUMPRODUCT(--ISNUMBER(SEARCH({"ptw","permit"},LOWER(C16))))&gt;0,"Work Permits / PTW","Other")))))))</f>
        <v/>
      </c>
      <c r="G16" s="5">
        <f>IF(C16="","",IF(SUMPRODUCT(--ISNUMBER(SEARCH({"confined","live","no harness","gas"},LOWER(C16))))&gt;0,"Critical",IF(SUMPRODUCT(--ISNUMBER(SEARCH({"scaffold","excav","lift","electrical","ptw"},LOWER(C16))))&gt;0,"High","Medium")))</f>
        <v/>
      </c>
      <c r="H16" s="7" t="n"/>
    </row>
    <row r="17" ht="48" customHeight="1">
      <c r="B17" s="7" t="n"/>
      <c r="C17" s="7" t="n"/>
      <c r="D17" s="5">
        <f>IF(C17="","",IF(SUMPRODUCT(--ISNUMBER(SEARCH({"lift","crane","sling","rigging"},LOWER(C17))))&gt;0,"EHS Observation — Lifting Operations: Unsafe lifting practice observed. Stop-work until lift plan and competent rigger are verified.",IF(SUMPRODUCT(--ISNUMBER(SEARCH({"scaffold"},LOWER(C17))))&gt;0,"EHS Observation — Scaffolding: Incomplete/incorrectly tagged scaffold. Red-tag and prohibit access.",IF(SUMPRODUCT(--ISNUMBER(SEARCH({"excav","trench"},LOWER(C17))))&gt;0,"EHS Observation — Excavation: Inadequate excavation controls. Stop until shoring/services verified.",IF(SUMPRODUCT(--ISNUMBER(SEARCH({"confined","tank","gas test"},LOWER(C17))))&gt;0,"EHS Observation — Confined Space: Uncontrolled entry. Evacuate and re-issue CS PTW.",IF(SUMPRODUCT(--ISNUMBER(SEARCH({"harness","height","edge","roof"},LOWER(C17))))&gt;0,"EHS Observation — Working at Height: Unprotected edge / no 100% tie-off. Life-saving rule breach.",IF(SUMPRODUCT(--ISNUMBER(SEARCH({"electrical","cable","loto"},LOWER(C17))))&gt;0,"EHS Observation — Electrical: Live services without isolation/LOTO.",IF(SUMPRODUCT(--ISNUMBER(SEARCH({"ptw","permit"},LOWER(C17))))&gt;0,"EHS Observation — Work Permit: Missing or expired PTW.","EHS Observation: Unsafe act/condition — make safe and record in tracker."))))))))</f>
        <v/>
      </c>
      <c r="E17" s="5">
        <f>IF(C17="","","1) CORRECTIVE: Stop &amp; make safe. 2) CONTAINMENT: Barricade/tag-out. 3) PREVENTIVE: TBT 24h + JSA update + competency check. 4) VERIFY: EHS restart inspection with evidence.")</f>
        <v/>
      </c>
      <c r="F17" s="5">
        <f>IF(C17="","",IF(SUMPRODUCT(--ISNUMBER(SEARCH({"lift","crane","sling"},LOWER(C17))))&gt;0,"Lifting Operations",IF(SUMPRODUCT(--ISNUMBER(SEARCH({"scaffold"},LOWER(C17))))&gt;0,"Scaffolding",IF(SUMPRODUCT(--ISNUMBER(SEARCH({"excav"},LOWER(C17))))&gt;0,"Excavation",IF(SUMPRODUCT(--ISNUMBER(SEARCH({"confined","tank"},LOWER(C17))))&gt;0,"Confined Space",IF(SUMPRODUCT(--ISNUMBER(SEARCH({"height","harness","roof"},LOWER(C17))))&gt;0,"Working at Height",IF(SUMPRODUCT(--ISNUMBER(SEARCH({"electrical","loto","cable"},LOWER(C17))))&gt;0,"Electrical",IF(SUMPRODUCT(--ISNUMBER(SEARCH({"ptw","permit"},LOWER(C17))))&gt;0,"Work Permits / PTW","Other")))))))</f>
        <v/>
      </c>
      <c r="G17" s="5">
        <f>IF(C17="","",IF(SUMPRODUCT(--ISNUMBER(SEARCH({"confined","live","no harness","gas"},LOWER(C17))))&gt;0,"Critical",IF(SUMPRODUCT(--ISNUMBER(SEARCH({"scaffold","excav","lift","electrical","ptw"},LOWER(C17))))&gt;0,"High","Medium")))</f>
        <v/>
      </c>
      <c r="H17" s="7" t="n"/>
    </row>
    <row r="18" ht="48" customHeight="1">
      <c r="B18" s="7" t="n"/>
      <c r="C18" s="7" t="n"/>
      <c r="D18" s="5">
        <f>IF(C18="","",IF(SUMPRODUCT(--ISNUMBER(SEARCH({"lift","crane","sling","rigging"},LOWER(C18))))&gt;0,"EHS Observation — Lifting Operations: Unsafe lifting practice observed. Stop-work until lift plan and competent rigger are verified.",IF(SUMPRODUCT(--ISNUMBER(SEARCH({"scaffold"},LOWER(C18))))&gt;0,"EHS Observation — Scaffolding: Incomplete/incorrectly tagged scaffold. Red-tag and prohibit access.",IF(SUMPRODUCT(--ISNUMBER(SEARCH({"excav","trench"},LOWER(C18))))&gt;0,"EHS Observation — Excavation: Inadequate excavation controls. Stop until shoring/services verified.",IF(SUMPRODUCT(--ISNUMBER(SEARCH({"confined","tank","gas test"},LOWER(C18))))&gt;0,"EHS Observation — Confined Space: Uncontrolled entry. Evacuate and re-issue CS PTW.",IF(SUMPRODUCT(--ISNUMBER(SEARCH({"harness","height","edge","roof"},LOWER(C18))))&gt;0,"EHS Observation — Working at Height: Unprotected edge / no 100% tie-off. Life-saving rule breach.",IF(SUMPRODUCT(--ISNUMBER(SEARCH({"electrical","cable","loto"},LOWER(C18))))&gt;0,"EHS Observation — Electrical: Live services without isolation/LOTO.",IF(SUMPRODUCT(--ISNUMBER(SEARCH({"ptw","permit"},LOWER(C18))))&gt;0,"EHS Observation — Work Permit: Missing or expired PTW.","EHS Observation: Unsafe act/condition — make safe and record in tracker."))))))))</f>
        <v/>
      </c>
      <c r="E18" s="5">
        <f>IF(C18="","","1) CORRECTIVE: Stop &amp; make safe. 2) CONTAINMENT: Barricade/tag-out. 3) PREVENTIVE: TBT 24h + JSA update + competency check. 4) VERIFY: EHS restart inspection with evidence.")</f>
        <v/>
      </c>
      <c r="F18" s="5">
        <f>IF(C18="","",IF(SUMPRODUCT(--ISNUMBER(SEARCH({"lift","crane","sling"},LOWER(C18))))&gt;0,"Lifting Operations",IF(SUMPRODUCT(--ISNUMBER(SEARCH({"scaffold"},LOWER(C18))))&gt;0,"Scaffolding",IF(SUMPRODUCT(--ISNUMBER(SEARCH({"excav"},LOWER(C18))))&gt;0,"Excavation",IF(SUMPRODUCT(--ISNUMBER(SEARCH({"confined","tank"},LOWER(C18))))&gt;0,"Confined Space",IF(SUMPRODUCT(--ISNUMBER(SEARCH({"height","harness","roof"},LOWER(C18))))&gt;0,"Working at Height",IF(SUMPRODUCT(--ISNUMBER(SEARCH({"electrical","loto","cable"},LOWER(C18))))&gt;0,"Electrical",IF(SUMPRODUCT(--ISNUMBER(SEARCH({"ptw","permit"},LOWER(C18))))&gt;0,"Work Permits / PTW","Other")))))))</f>
        <v/>
      </c>
      <c r="G18" s="5">
        <f>IF(C18="","",IF(SUMPRODUCT(--ISNUMBER(SEARCH({"confined","live","no harness","gas"},LOWER(C18))))&gt;0,"Critical",IF(SUMPRODUCT(--ISNUMBER(SEARCH({"scaffold","excav","lift","electrical","ptw"},LOWER(C18))))&gt;0,"High","Medium")))</f>
        <v/>
      </c>
      <c r="H18" s="7" t="n"/>
    </row>
    <row r="19" ht="48" customHeight="1">
      <c r="B19" s="7" t="n"/>
      <c r="C19" s="7" t="n"/>
      <c r="D19" s="5">
        <f>IF(C19="","",IF(SUMPRODUCT(--ISNUMBER(SEARCH({"lift","crane","sling","rigging"},LOWER(C19))))&gt;0,"EHS Observation — Lifting Operations: Unsafe lifting practice observed. Stop-work until lift plan and competent rigger are verified.",IF(SUMPRODUCT(--ISNUMBER(SEARCH({"scaffold"},LOWER(C19))))&gt;0,"EHS Observation — Scaffolding: Incomplete/incorrectly tagged scaffold. Red-tag and prohibit access.",IF(SUMPRODUCT(--ISNUMBER(SEARCH({"excav","trench"},LOWER(C19))))&gt;0,"EHS Observation — Excavation: Inadequate excavation controls. Stop until shoring/services verified.",IF(SUMPRODUCT(--ISNUMBER(SEARCH({"confined","tank","gas test"},LOWER(C19))))&gt;0,"EHS Observation — Confined Space: Uncontrolled entry. Evacuate and re-issue CS PTW.",IF(SUMPRODUCT(--ISNUMBER(SEARCH({"harness","height","edge","roof"},LOWER(C19))))&gt;0,"EHS Observation — Working at Height: Unprotected edge / no 100% tie-off. Life-saving rule breach.",IF(SUMPRODUCT(--ISNUMBER(SEARCH({"electrical","cable","loto"},LOWER(C19))))&gt;0,"EHS Observation — Electrical: Live services without isolation/LOTO.",IF(SUMPRODUCT(--ISNUMBER(SEARCH({"ptw","permit"},LOWER(C19))))&gt;0,"EHS Observation — Work Permit: Missing or expired PTW.","EHS Observation: Unsafe act/condition — make safe and record in tracker."))))))))</f>
        <v/>
      </c>
      <c r="E19" s="5">
        <f>IF(C19="","","1) CORRECTIVE: Stop &amp; make safe. 2) CONTAINMENT: Barricade/tag-out. 3) PREVENTIVE: TBT 24h + JSA update + competency check. 4) VERIFY: EHS restart inspection with evidence.")</f>
        <v/>
      </c>
      <c r="F19" s="5">
        <f>IF(C19="","",IF(SUMPRODUCT(--ISNUMBER(SEARCH({"lift","crane","sling"},LOWER(C19))))&gt;0,"Lifting Operations",IF(SUMPRODUCT(--ISNUMBER(SEARCH({"scaffold"},LOWER(C19))))&gt;0,"Scaffolding",IF(SUMPRODUCT(--ISNUMBER(SEARCH({"excav"},LOWER(C19))))&gt;0,"Excavation",IF(SUMPRODUCT(--ISNUMBER(SEARCH({"confined","tank"},LOWER(C19))))&gt;0,"Confined Space",IF(SUMPRODUCT(--ISNUMBER(SEARCH({"height","harness","roof"},LOWER(C19))))&gt;0,"Working at Height",IF(SUMPRODUCT(--ISNUMBER(SEARCH({"electrical","loto","cable"},LOWER(C19))))&gt;0,"Electrical",IF(SUMPRODUCT(--ISNUMBER(SEARCH({"ptw","permit"},LOWER(C19))))&gt;0,"Work Permits / PTW","Other")))))))</f>
        <v/>
      </c>
      <c r="G19" s="5">
        <f>IF(C19="","",IF(SUMPRODUCT(--ISNUMBER(SEARCH({"confined","live","no harness","gas"},LOWER(C19))))&gt;0,"Critical",IF(SUMPRODUCT(--ISNUMBER(SEARCH({"scaffold","excav","lift","electrical","ptw"},LOWER(C19))))&gt;0,"High","Medium")))</f>
        <v/>
      </c>
      <c r="H19" s="7" t="n"/>
    </row>
    <row r="20" ht="48" customHeight="1">
      <c r="B20" s="7" t="n"/>
      <c r="C20" s="7" t="n"/>
      <c r="D20" s="5">
        <f>IF(C20="","",IF(SUMPRODUCT(--ISNUMBER(SEARCH({"lift","crane","sling","rigging"},LOWER(C20))))&gt;0,"EHS Observation — Lifting Operations: Unsafe lifting practice observed. Stop-work until lift plan and competent rigger are verified.",IF(SUMPRODUCT(--ISNUMBER(SEARCH({"scaffold"},LOWER(C20))))&gt;0,"EHS Observation — Scaffolding: Incomplete/incorrectly tagged scaffold. Red-tag and prohibit access.",IF(SUMPRODUCT(--ISNUMBER(SEARCH({"excav","trench"},LOWER(C20))))&gt;0,"EHS Observation — Excavation: Inadequate excavation controls. Stop until shoring/services verified.",IF(SUMPRODUCT(--ISNUMBER(SEARCH({"confined","tank","gas test"},LOWER(C20))))&gt;0,"EHS Observation — Confined Space: Uncontrolled entry. Evacuate and re-issue CS PTW.",IF(SUMPRODUCT(--ISNUMBER(SEARCH({"harness","height","edge","roof"},LOWER(C20))))&gt;0,"EHS Observation — Working at Height: Unprotected edge / no 100% tie-off. Life-saving rule breach.",IF(SUMPRODUCT(--ISNUMBER(SEARCH({"electrical","cable","loto"},LOWER(C20))))&gt;0,"EHS Observation — Electrical: Live services without isolation/LOTO.",IF(SUMPRODUCT(--ISNUMBER(SEARCH({"ptw","permit"},LOWER(C20))))&gt;0,"EHS Observation — Work Permit: Missing or expired PTW.","EHS Observation: Unsafe act/condition — make safe and record in tracker."))))))))</f>
        <v/>
      </c>
      <c r="E20" s="5">
        <f>IF(C20="","","1) CORRECTIVE: Stop &amp; make safe. 2) CONTAINMENT: Barricade/tag-out. 3) PREVENTIVE: TBT 24h + JSA update + competency check. 4) VERIFY: EHS restart inspection with evidence.")</f>
        <v/>
      </c>
      <c r="F20" s="5">
        <f>IF(C20="","",IF(SUMPRODUCT(--ISNUMBER(SEARCH({"lift","crane","sling"},LOWER(C20))))&gt;0,"Lifting Operations",IF(SUMPRODUCT(--ISNUMBER(SEARCH({"scaffold"},LOWER(C20))))&gt;0,"Scaffolding",IF(SUMPRODUCT(--ISNUMBER(SEARCH({"excav"},LOWER(C20))))&gt;0,"Excavation",IF(SUMPRODUCT(--ISNUMBER(SEARCH({"confined","tank"},LOWER(C20))))&gt;0,"Confined Space",IF(SUMPRODUCT(--ISNUMBER(SEARCH({"height","harness","roof"},LOWER(C20))))&gt;0,"Working at Height",IF(SUMPRODUCT(--ISNUMBER(SEARCH({"electrical","loto","cable"},LOWER(C20))))&gt;0,"Electrical",IF(SUMPRODUCT(--ISNUMBER(SEARCH({"ptw","permit"},LOWER(C20))))&gt;0,"Work Permits / PTW","Other")))))))</f>
        <v/>
      </c>
      <c r="G20" s="5">
        <f>IF(C20="","",IF(SUMPRODUCT(--ISNUMBER(SEARCH({"confined","live","no harness","gas"},LOWER(C20))))&gt;0,"Critical",IF(SUMPRODUCT(--ISNUMBER(SEARCH({"scaffold","excav","lift","electrical","ptw"},LOWER(C20))))&gt;0,"High","Medium")))</f>
        <v/>
      </c>
      <c r="H20" s="7" t="n"/>
    </row>
    <row r="21" ht="48" customHeight="1">
      <c r="B21" s="7" t="n"/>
      <c r="C21" s="7" t="n"/>
      <c r="D21" s="5">
        <f>IF(C21="","",IF(SUMPRODUCT(--ISNUMBER(SEARCH({"lift","crane","sling","rigging"},LOWER(C21))))&gt;0,"EHS Observation — Lifting Operations: Unsafe lifting practice observed. Stop-work until lift plan and competent rigger are verified.",IF(SUMPRODUCT(--ISNUMBER(SEARCH({"scaffold"},LOWER(C21))))&gt;0,"EHS Observation — Scaffolding: Incomplete/incorrectly tagged scaffold. Red-tag and prohibit access.",IF(SUMPRODUCT(--ISNUMBER(SEARCH({"excav","trench"},LOWER(C21))))&gt;0,"EHS Observation — Excavation: Inadequate excavation controls. Stop until shoring/services verified.",IF(SUMPRODUCT(--ISNUMBER(SEARCH({"confined","tank","gas test"},LOWER(C21))))&gt;0,"EHS Observation — Confined Space: Uncontrolled entry. Evacuate and re-issue CS PTW.",IF(SUMPRODUCT(--ISNUMBER(SEARCH({"harness","height","edge","roof"},LOWER(C21))))&gt;0,"EHS Observation — Working at Height: Unprotected edge / no 100% tie-off. Life-saving rule breach.",IF(SUMPRODUCT(--ISNUMBER(SEARCH({"electrical","cable","loto"},LOWER(C21))))&gt;0,"EHS Observation — Electrical: Live services without isolation/LOTO.",IF(SUMPRODUCT(--ISNUMBER(SEARCH({"ptw","permit"},LOWER(C21))))&gt;0,"EHS Observation — Work Permit: Missing or expired PTW.","EHS Observation: Unsafe act/condition — make safe and record in tracker."))))))))</f>
        <v/>
      </c>
      <c r="E21" s="5">
        <f>IF(C21="","","1) CORRECTIVE: Stop &amp; make safe. 2) CONTAINMENT: Barricade/tag-out. 3) PREVENTIVE: TBT 24h + JSA update + competency check. 4) VERIFY: EHS restart inspection with evidence.")</f>
        <v/>
      </c>
      <c r="F21" s="5">
        <f>IF(C21="","",IF(SUMPRODUCT(--ISNUMBER(SEARCH({"lift","crane","sling"},LOWER(C21))))&gt;0,"Lifting Operations",IF(SUMPRODUCT(--ISNUMBER(SEARCH({"scaffold"},LOWER(C21))))&gt;0,"Scaffolding",IF(SUMPRODUCT(--ISNUMBER(SEARCH({"excav"},LOWER(C21))))&gt;0,"Excavation",IF(SUMPRODUCT(--ISNUMBER(SEARCH({"confined","tank"},LOWER(C21))))&gt;0,"Confined Space",IF(SUMPRODUCT(--ISNUMBER(SEARCH({"height","harness","roof"},LOWER(C21))))&gt;0,"Working at Height",IF(SUMPRODUCT(--ISNUMBER(SEARCH({"electrical","loto","cable"},LOWER(C21))))&gt;0,"Electrical",IF(SUMPRODUCT(--ISNUMBER(SEARCH({"ptw","permit"},LOWER(C21))))&gt;0,"Work Permits / PTW","Other")))))))</f>
        <v/>
      </c>
      <c r="G21" s="5">
        <f>IF(C21="","",IF(SUMPRODUCT(--ISNUMBER(SEARCH({"confined","live","no harness","gas"},LOWER(C21))))&gt;0,"Critical",IF(SUMPRODUCT(--ISNUMBER(SEARCH({"scaffold","excav","lift","electrical","ptw"},LOWER(C21))))&gt;0,"High","Medium")))</f>
        <v/>
      </c>
      <c r="H21" s="7" t="n"/>
    </row>
    <row r="22" ht="48" customHeight="1">
      <c r="B22" s="7" t="n"/>
      <c r="C22" s="7" t="n"/>
      <c r="D22" s="5">
        <f>IF(C22="","",IF(SUMPRODUCT(--ISNUMBER(SEARCH({"lift","crane","sling","rigging"},LOWER(C22))))&gt;0,"EHS Observation — Lifting Operations: Unsafe lifting practice observed. Stop-work until lift plan and competent rigger are verified.",IF(SUMPRODUCT(--ISNUMBER(SEARCH({"scaffold"},LOWER(C22))))&gt;0,"EHS Observation — Scaffolding: Incomplete/incorrectly tagged scaffold. Red-tag and prohibit access.",IF(SUMPRODUCT(--ISNUMBER(SEARCH({"excav","trench"},LOWER(C22))))&gt;0,"EHS Observation — Excavation: Inadequate excavation controls. Stop until shoring/services verified.",IF(SUMPRODUCT(--ISNUMBER(SEARCH({"confined","tank","gas test"},LOWER(C22))))&gt;0,"EHS Observation — Confined Space: Uncontrolled entry. Evacuate and re-issue CS PTW.",IF(SUMPRODUCT(--ISNUMBER(SEARCH({"harness","height","edge","roof"},LOWER(C22))))&gt;0,"EHS Observation — Working at Height: Unprotected edge / no 100% tie-off. Life-saving rule breach.",IF(SUMPRODUCT(--ISNUMBER(SEARCH({"electrical","cable","loto"},LOWER(C22))))&gt;0,"EHS Observation — Electrical: Live services without isolation/LOTO.",IF(SUMPRODUCT(--ISNUMBER(SEARCH({"ptw","permit"},LOWER(C22))))&gt;0,"EHS Observation — Work Permit: Missing or expired PTW.","EHS Observation: Unsafe act/condition — make safe and record in tracker."))))))))</f>
        <v/>
      </c>
      <c r="E22" s="5">
        <f>IF(C22="","","1) CORRECTIVE: Stop &amp; make safe. 2) CONTAINMENT: Barricade/tag-out. 3) PREVENTIVE: TBT 24h + JSA update + competency check. 4) VERIFY: EHS restart inspection with evidence.")</f>
        <v/>
      </c>
      <c r="F22" s="5">
        <f>IF(C22="","",IF(SUMPRODUCT(--ISNUMBER(SEARCH({"lift","crane","sling"},LOWER(C22))))&gt;0,"Lifting Operations",IF(SUMPRODUCT(--ISNUMBER(SEARCH({"scaffold"},LOWER(C22))))&gt;0,"Scaffolding",IF(SUMPRODUCT(--ISNUMBER(SEARCH({"excav"},LOWER(C22))))&gt;0,"Excavation",IF(SUMPRODUCT(--ISNUMBER(SEARCH({"confined","tank"},LOWER(C22))))&gt;0,"Confined Space",IF(SUMPRODUCT(--ISNUMBER(SEARCH({"height","harness","roof"},LOWER(C22))))&gt;0,"Working at Height",IF(SUMPRODUCT(--ISNUMBER(SEARCH({"electrical","loto","cable"},LOWER(C22))))&gt;0,"Electrical",IF(SUMPRODUCT(--ISNUMBER(SEARCH({"ptw","permit"},LOWER(C22))))&gt;0,"Work Permits / PTW","Other")))))))</f>
        <v/>
      </c>
      <c r="G22" s="5">
        <f>IF(C22="","",IF(SUMPRODUCT(--ISNUMBER(SEARCH({"confined","live","no harness","gas"},LOWER(C22))))&gt;0,"Critical",IF(SUMPRODUCT(--ISNUMBER(SEARCH({"scaffold","excav","lift","electrical","ptw"},LOWER(C22))))&gt;0,"High","Medium")))</f>
        <v/>
      </c>
      <c r="H22" s="7" t="n"/>
    </row>
    <row r="23" ht="48" customHeight="1">
      <c r="B23" s="7" t="n"/>
      <c r="C23" s="7" t="n"/>
      <c r="D23" s="5">
        <f>IF(C23="","",IF(SUMPRODUCT(--ISNUMBER(SEARCH({"lift","crane","sling","rigging"},LOWER(C23))))&gt;0,"EHS Observation — Lifting Operations: Unsafe lifting practice observed. Stop-work until lift plan and competent rigger are verified.",IF(SUMPRODUCT(--ISNUMBER(SEARCH({"scaffold"},LOWER(C23))))&gt;0,"EHS Observation — Scaffolding: Incomplete/incorrectly tagged scaffold. Red-tag and prohibit access.",IF(SUMPRODUCT(--ISNUMBER(SEARCH({"excav","trench"},LOWER(C23))))&gt;0,"EHS Observation — Excavation: Inadequate excavation controls. Stop until shoring/services verified.",IF(SUMPRODUCT(--ISNUMBER(SEARCH({"confined","tank","gas test"},LOWER(C23))))&gt;0,"EHS Observation — Confined Space: Uncontrolled entry. Evacuate and re-issue CS PTW.",IF(SUMPRODUCT(--ISNUMBER(SEARCH({"harness","height","edge","roof"},LOWER(C23))))&gt;0,"EHS Observation — Working at Height: Unprotected edge / no 100% tie-off. Life-saving rule breach.",IF(SUMPRODUCT(--ISNUMBER(SEARCH({"electrical","cable","loto"},LOWER(C23))))&gt;0,"EHS Observation — Electrical: Live services without isolation/LOTO.",IF(SUMPRODUCT(--ISNUMBER(SEARCH({"ptw","permit"},LOWER(C23))))&gt;0,"EHS Observation — Work Permit: Missing or expired PTW.","EHS Observation: Unsafe act/condition — make safe and record in tracker."))))))))</f>
        <v/>
      </c>
      <c r="E23" s="5">
        <f>IF(C23="","","1) CORRECTIVE: Stop &amp; make safe. 2) CONTAINMENT: Barricade/tag-out. 3) PREVENTIVE: TBT 24h + JSA update + competency check. 4) VERIFY: EHS restart inspection with evidence.")</f>
        <v/>
      </c>
      <c r="F23" s="5">
        <f>IF(C23="","",IF(SUMPRODUCT(--ISNUMBER(SEARCH({"lift","crane","sling"},LOWER(C23))))&gt;0,"Lifting Operations",IF(SUMPRODUCT(--ISNUMBER(SEARCH({"scaffold"},LOWER(C23))))&gt;0,"Scaffolding",IF(SUMPRODUCT(--ISNUMBER(SEARCH({"excav"},LOWER(C23))))&gt;0,"Excavation",IF(SUMPRODUCT(--ISNUMBER(SEARCH({"confined","tank"},LOWER(C23))))&gt;0,"Confined Space",IF(SUMPRODUCT(--ISNUMBER(SEARCH({"height","harness","roof"},LOWER(C23))))&gt;0,"Working at Height",IF(SUMPRODUCT(--ISNUMBER(SEARCH({"electrical","loto","cable"},LOWER(C23))))&gt;0,"Electrical",IF(SUMPRODUCT(--ISNUMBER(SEARCH({"ptw","permit"},LOWER(C23))))&gt;0,"Work Permits / PTW","Other")))))))</f>
        <v/>
      </c>
      <c r="G23" s="5">
        <f>IF(C23="","",IF(SUMPRODUCT(--ISNUMBER(SEARCH({"confined","live","no harness","gas"},LOWER(C23))))&gt;0,"Critical",IF(SUMPRODUCT(--ISNUMBER(SEARCH({"scaffold","excav","lift","electrical","ptw"},LOWER(C23))))&gt;0,"High","Medium")))</f>
        <v/>
      </c>
      <c r="H23" s="7" t="n"/>
    </row>
    <row r="24" ht="48" customHeight="1">
      <c r="B24" s="7" t="n"/>
      <c r="C24" s="7" t="n"/>
      <c r="D24" s="5">
        <f>IF(C24="","",IF(SUMPRODUCT(--ISNUMBER(SEARCH({"lift","crane","sling","rigging"},LOWER(C24))))&gt;0,"EHS Observation — Lifting Operations: Unsafe lifting practice observed. Stop-work until lift plan and competent rigger are verified.",IF(SUMPRODUCT(--ISNUMBER(SEARCH({"scaffold"},LOWER(C24))))&gt;0,"EHS Observation — Scaffolding: Incomplete/incorrectly tagged scaffold. Red-tag and prohibit access.",IF(SUMPRODUCT(--ISNUMBER(SEARCH({"excav","trench"},LOWER(C24))))&gt;0,"EHS Observation — Excavation: Inadequate excavation controls. Stop until shoring/services verified.",IF(SUMPRODUCT(--ISNUMBER(SEARCH({"confined","tank","gas test"},LOWER(C24))))&gt;0,"EHS Observation — Confined Space: Uncontrolled entry. Evacuate and re-issue CS PTW.",IF(SUMPRODUCT(--ISNUMBER(SEARCH({"harness","height","edge","roof"},LOWER(C24))))&gt;0,"EHS Observation — Working at Height: Unprotected edge / no 100% tie-off. Life-saving rule breach.",IF(SUMPRODUCT(--ISNUMBER(SEARCH({"electrical","cable","loto"},LOWER(C24))))&gt;0,"EHS Observation — Electrical: Live services without isolation/LOTO.",IF(SUMPRODUCT(--ISNUMBER(SEARCH({"ptw","permit"},LOWER(C24))))&gt;0,"EHS Observation — Work Permit: Missing or expired PTW.","EHS Observation: Unsafe act/condition — make safe and record in tracker."))))))))</f>
        <v/>
      </c>
      <c r="E24" s="5">
        <f>IF(C24="","","1) CORRECTIVE: Stop &amp; make safe. 2) CONTAINMENT: Barricade/tag-out. 3) PREVENTIVE: TBT 24h + JSA update + competency check. 4) VERIFY: EHS restart inspection with evidence.")</f>
        <v/>
      </c>
      <c r="F24" s="5">
        <f>IF(C24="","",IF(SUMPRODUCT(--ISNUMBER(SEARCH({"lift","crane","sling"},LOWER(C24))))&gt;0,"Lifting Operations",IF(SUMPRODUCT(--ISNUMBER(SEARCH({"scaffold"},LOWER(C24))))&gt;0,"Scaffolding",IF(SUMPRODUCT(--ISNUMBER(SEARCH({"excav"},LOWER(C24))))&gt;0,"Excavation",IF(SUMPRODUCT(--ISNUMBER(SEARCH({"confined","tank"},LOWER(C24))))&gt;0,"Confined Space",IF(SUMPRODUCT(--ISNUMBER(SEARCH({"height","harness","roof"},LOWER(C24))))&gt;0,"Working at Height",IF(SUMPRODUCT(--ISNUMBER(SEARCH({"electrical","loto","cable"},LOWER(C24))))&gt;0,"Electrical",IF(SUMPRODUCT(--ISNUMBER(SEARCH({"ptw","permit"},LOWER(C24))))&gt;0,"Work Permits / PTW","Other")))))))</f>
        <v/>
      </c>
      <c r="G24" s="5">
        <f>IF(C24="","",IF(SUMPRODUCT(--ISNUMBER(SEARCH({"confined","live","no harness","gas"},LOWER(C24))))&gt;0,"Critical",IF(SUMPRODUCT(--ISNUMBER(SEARCH({"scaffold","excav","lift","electrical","ptw"},LOWER(C24))))&gt;0,"High","Medium")))</f>
        <v/>
      </c>
      <c r="H24" s="7" t="n"/>
    </row>
    <row r="25" ht="48" customHeight="1">
      <c r="B25" s="7" t="n"/>
      <c r="C25" s="7" t="n"/>
      <c r="D25" s="5">
        <f>IF(C25="","",IF(SUMPRODUCT(--ISNUMBER(SEARCH({"lift","crane","sling","rigging"},LOWER(C25))))&gt;0,"EHS Observation — Lifting Operations: Unsafe lifting practice observed. Stop-work until lift plan and competent rigger are verified.",IF(SUMPRODUCT(--ISNUMBER(SEARCH({"scaffold"},LOWER(C25))))&gt;0,"EHS Observation — Scaffolding: Incomplete/incorrectly tagged scaffold. Red-tag and prohibit access.",IF(SUMPRODUCT(--ISNUMBER(SEARCH({"excav","trench"},LOWER(C25))))&gt;0,"EHS Observation — Excavation: Inadequate excavation controls. Stop until shoring/services verified.",IF(SUMPRODUCT(--ISNUMBER(SEARCH({"confined","tank","gas test"},LOWER(C25))))&gt;0,"EHS Observation — Confined Space: Uncontrolled entry. Evacuate and re-issue CS PTW.",IF(SUMPRODUCT(--ISNUMBER(SEARCH({"harness","height","edge","roof"},LOWER(C25))))&gt;0,"EHS Observation — Working at Height: Unprotected edge / no 100% tie-off. Life-saving rule breach.",IF(SUMPRODUCT(--ISNUMBER(SEARCH({"electrical","cable","loto"},LOWER(C25))))&gt;0,"EHS Observation — Electrical: Live services without isolation/LOTO.",IF(SUMPRODUCT(--ISNUMBER(SEARCH({"ptw","permit"},LOWER(C25))))&gt;0,"EHS Observation — Work Permit: Missing or expired PTW.","EHS Observation: Unsafe act/condition — make safe and record in tracker."))))))))</f>
        <v/>
      </c>
      <c r="E25" s="5">
        <f>IF(C25="","","1) CORRECTIVE: Stop &amp; make safe. 2) CONTAINMENT: Barricade/tag-out. 3) PREVENTIVE: TBT 24h + JSA update + competency check. 4) VERIFY: EHS restart inspection with evidence.")</f>
        <v/>
      </c>
      <c r="F25" s="5">
        <f>IF(C25="","",IF(SUMPRODUCT(--ISNUMBER(SEARCH({"lift","crane","sling"},LOWER(C25))))&gt;0,"Lifting Operations",IF(SUMPRODUCT(--ISNUMBER(SEARCH({"scaffold"},LOWER(C25))))&gt;0,"Scaffolding",IF(SUMPRODUCT(--ISNUMBER(SEARCH({"excav"},LOWER(C25))))&gt;0,"Excavation",IF(SUMPRODUCT(--ISNUMBER(SEARCH({"confined","tank"},LOWER(C25))))&gt;0,"Confined Space",IF(SUMPRODUCT(--ISNUMBER(SEARCH({"height","harness","roof"},LOWER(C25))))&gt;0,"Working at Height",IF(SUMPRODUCT(--ISNUMBER(SEARCH({"electrical","loto","cable"},LOWER(C25))))&gt;0,"Electrical",IF(SUMPRODUCT(--ISNUMBER(SEARCH({"ptw","permit"},LOWER(C25))))&gt;0,"Work Permits / PTW","Other")))))))</f>
        <v/>
      </c>
      <c r="G25" s="5">
        <f>IF(C25="","",IF(SUMPRODUCT(--ISNUMBER(SEARCH({"confined","live","no harness","gas"},LOWER(C25))))&gt;0,"Critical",IF(SUMPRODUCT(--ISNUMBER(SEARCH({"scaffold","excav","lift","electrical","ptw"},LOWER(C25))))&gt;0,"High","Medium")))</f>
        <v/>
      </c>
      <c r="H25" s="7" t="n"/>
    </row>
    <row r="26" ht="48" customHeight="1">
      <c r="B26" s="7" t="n"/>
      <c r="C26" s="7" t="n"/>
      <c r="D26" s="5">
        <f>IF(C26="","",IF(SUMPRODUCT(--ISNUMBER(SEARCH({"lift","crane","sling","rigging"},LOWER(C26))))&gt;0,"EHS Observation — Lifting Operations: Unsafe lifting practice observed. Stop-work until lift plan and competent rigger are verified.",IF(SUMPRODUCT(--ISNUMBER(SEARCH({"scaffold"},LOWER(C26))))&gt;0,"EHS Observation — Scaffolding: Incomplete/incorrectly tagged scaffold. Red-tag and prohibit access.",IF(SUMPRODUCT(--ISNUMBER(SEARCH({"excav","trench"},LOWER(C26))))&gt;0,"EHS Observation — Excavation: Inadequate excavation controls. Stop until shoring/services verified.",IF(SUMPRODUCT(--ISNUMBER(SEARCH({"confined","tank","gas test"},LOWER(C26))))&gt;0,"EHS Observation — Confined Space: Uncontrolled entry. Evacuate and re-issue CS PTW.",IF(SUMPRODUCT(--ISNUMBER(SEARCH({"harness","height","edge","roof"},LOWER(C26))))&gt;0,"EHS Observation — Working at Height: Unprotected edge / no 100% tie-off. Life-saving rule breach.",IF(SUMPRODUCT(--ISNUMBER(SEARCH({"electrical","cable","loto"},LOWER(C26))))&gt;0,"EHS Observation — Electrical: Live services without isolation/LOTO.",IF(SUMPRODUCT(--ISNUMBER(SEARCH({"ptw","permit"},LOWER(C26))))&gt;0,"EHS Observation — Work Permit: Missing or expired PTW.","EHS Observation: Unsafe act/condition — make safe and record in tracker."))))))))</f>
        <v/>
      </c>
      <c r="E26" s="5">
        <f>IF(C26="","","1) CORRECTIVE: Stop &amp; make safe. 2) CONTAINMENT: Barricade/tag-out. 3) PREVENTIVE: TBT 24h + JSA update + competency check. 4) VERIFY: EHS restart inspection with evidence.")</f>
        <v/>
      </c>
      <c r="F26" s="5">
        <f>IF(C26="","",IF(SUMPRODUCT(--ISNUMBER(SEARCH({"lift","crane","sling"},LOWER(C26))))&gt;0,"Lifting Operations",IF(SUMPRODUCT(--ISNUMBER(SEARCH({"scaffold"},LOWER(C26))))&gt;0,"Scaffolding",IF(SUMPRODUCT(--ISNUMBER(SEARCH({"excav"},LOWER(C26))))&gt;0,"Excavation",IF(SUMPRODUCT(--ISNUMBER(SEARCH({"confined","tank"},LOWER(C26))))&gt;0,"Confined Space",IF(SUMPRODUCT(--ISNUMBER(SEARCH({"height","harness","roof"},LOWER(C26))))&gt;0,"Working at Height",IF(SUMPRODUCT(--ISNUMBER(SEARCH({"electrical","loto","cable"},LOWER(C26))))&gt;0,"Electrical",IF(SUMPRODUCT(--ISNUMBER(SEARCH({"ptw","permit"},LOWER(C26))))&gt;0,"Work Permits / PTW","Other")))))))</f>
        <v/>
      </c>
      <c r="G26" s="5">
        <f>IF(C26="","",IF(SUMPRODUCT(--ISNUMBER(SEARCH({"confined","live","no harness","gas"},LOWER(C26))))&gt;0,"Critical",IF(SUMPRODUCT(--ISNUMBER(SEARCH({"scaffold","excav","lift","electrical","ptw"},LOWER(C26))))&gt;0,"High","Medium")))</f>
        <v/>
      </c>
      <c r="H26" s="7" t="n"/>
    </row>
    <row r="27" ht="48" customHeight="1">
      <c r="B27" s="7" t="n"/>
      <c r="C27" s="7" t="n"/>
      <c r="D27" s="5">
        <f>IF(C27="","",IF(SUMPRODUCT(--ISNUMBER(SEARCH({"lift","crane","sling","rigging"},LOWER(C27))))&gt;0,"EHS Observation — Lifting Operations: Unsafe lifting practice observed. Stop-work until lift plan and competent rigger are verified.",IF(SUMPRODUCT(--ISNUMBER(SEARCH({"scaffold"},LOWER(C27))))&gt;0,"EHS Observation — Scaffolding: Incomplete/incorrectly tagged scaffold. Red-tag and prohibit access.",IF(SUMPRODUCT(--ISNUMBER(SEARCH({"excav","trench"},LOWER(C27))))&gt;0,"EHS Observation — Excavation: Inadequate excavation controls. Stop until shoring/services verified.",IF(SUMPRODUCT(--ISNUMBER(SEARCH({"confined","tank","gas test"},LOWER(C27))))&gt;0,"EHS Observation — Confined Space: Uncontrolled entry. Evacuate and re-issue CS PTW.",IF(SUMPRODUCT(--ISNUMBER(SEARCH({"harness","height","edge","roof"},LOWER(C27))))&gt;0,"EHS Observation — Working at Height: Unprotected edge / no 100% tie-off. Life-saving rule breach.",IF(SUMPRODUCT(--ISNUMBER(SEARCH({"electrical","cable","loto"},LOWER(C27))))&gt;0,"EHS Observation — Electrical: Live services without isolation/LOTO.",IF(SUMPRODUCT(--ISNUMBER(SEARCH({"ptw","permit"},LOWER(C27))))&gt;0,"EHS Observation — Work Permit: Missing or expired PTW.","EHS Observation: Unsafe act/condition — make safe and record in tracker."))))))))</f>
        <v/>
      </c>
      <c r="E27" s="5">
        <f>IF(C27="","","1) CORRECTIVE: Stop &amp; make safe. 2) CONTAINMENT: Barricade/tag-out. 3) PREVENTIVE: TBT 24h + JSA update + competency check. 4) VERIFY: EHS restart inspection with evidence.")</f>
        <v/>
      </c>
      <c r="F27" s="5">
        <f>IF(C27="","",IF(SUMPRODUCT(--ISNUMBER(SEARCH({"lift","crane","sling"},LOWER(C27))))&gt;0,"Lifting Operations",IF(SUMPRODUCT(--ISNUMBER(SEARCH({"scaffold"},LOWER(C27))))&gt;0,"Scaffolding",IF(SUMPRODUCT(--ISNUMBER(SEARCH({"excav"},LOWER(C27))))&gt;0,"Excavation",IF(SUMPRODUCT(--ISNUMBER(SEARCH({"confined","tank"},LOWER(C27))))&gt;0,"Confined Space",IF(SUMPRODUCT(--ISNUMBER(SEARCH({"height","harness","roof"},LOWER(C27))))&gt;0,"Working at Height",IF(SUMPRODUCT(--ISNUMBER(SEARCH({"electrical","loto","cable"},LOWER(C27))))&gt;0,"Electrical",IF(SUMPRODUCT(--ISNUMBER(SEARCH({"ptw","permit"},LOWER(C27))))&gt;0,"Work Permits / PTW","Other")))))))</f>
        <v/>
      </c>
      <c r="G27" s="5">
        <f>IF(C27="","",IF(SUMPRODUCT(--ISNUMBER(SEARCH({"confined","live","no harness","gas"},LOWER(C27))))&gt;0,"Critical",IF(SUMPRODUCT(--ISNUMBER(SEARCH({"scaffold","excav","lift","electrical","ptw"},LOWER(C27))))&gt;0,"High","Medium")))</f>
        <v/>
      </c>
      <c r="H27" s="7" t="n"/>
    </row>
    <row r="28" ht="48" customHeight="1">
      <c r="B28" s="7" t="n"/>
      <c r="C28" s="7" t="n"/>
      <c r="D28" s="5">
        <f>IF(C28="","",IF(SUMPRODUCT(--ISNUMBER(SEARCH({"lift","crane","sling","rigging"},LOWER(C28))))&gt;0,"EHS Observation — Lifting Operations: Unsafe lifting practice observed. Stop-work until lift plan and competent rigger are verified.",IF(SUMPRODUCT(--ISNUMBER(SEARCH({"scaffold"},LOWER(C28))))&gt;0,"EHS Observation — Scaffolding: Incomplete/incorrectly tagged scaffold. Red-tag and prohibit access.",IF(SUMPRODUCT(--ISNUMBER(SEARCH({"excav","trench"},LOWER(C28))))&gt;0,"EHS Observation — Excavation: Inadequate excavation controls. Stop until shoring/services verified.",IF(SUMPRODUCT(--ISNUMBER(SEARCH({"confined","tank","gas test"},LOWER(C28))))&gt;0,"EHS Observation — Confined Space: Uncontrolled entry. Evacuate and re-issue CS PTW.",IF(SUMPRODUCT(--ISNUMBER(SEARCH({"harness","height","edge","roof"},LOWER(C28))))&gt;0,"EHS Observation — Working at Height: Unprotected edge / no 100% tie-off. Life-saving rule breach.",IF(SUMPRODUCT(--ISNUMBER(SEARCH({"electrical","cable","loto"},LOWER(C28))))&gt;0,"EHS Observation — Electrical: Live services without isolation/LOTO.",IF(SUMPRODUCT(--ISNUMBER(SEARCH({"ptw","permit"},LOWER(C28))))&gt;0,"EHS Observation — Work Permit: Missing or expired PTW.","EHS Observation: Unsafe act/condition — make safe and record in tracker."))))))))</f>
        <v/>
      </c>
      <c r="E28" s="5">
        <f>IF(C28="","","1) CORRECTIVE: Stop &amp; make safe. 2) CONTAINMENT: Barricade/tag-out. 3) PREVENTIVE: TBT 24h + JSA update + competency check. 4) VERIFY: EHS restart inspection with evidence.")</f>
        <v/>
      </c>
      <c r="F28" s="5">
        <f>IF(C28="","",IF(SUMPRODUCT(--ISNUMBER(SEARCH({"lift","crane","sling"},LOWER(C28))))&gt;0,"Lifting Operations",IF(SUMPRODUCT(--ISNUMBER(SEARCH({"scaffold"},LOWER(C28))))&gt;0,"Scaffolding",IF(SUMPRODUCT(--ISNUMBER(SEARCH({"excav"},LOWER(C28))))&gt;0,"Excavation",IF(SUMPRODUCT(--ISNUMBER(SEARCH({"confined","tank"},LOWER(C28))))&gt;0,"Confined Space",IF(SUMPRODUCT(--ISNUMBER(SEARCH({"height","harness","roof"},LOWER(C28))))&gt;0,"Working at Height",IF(SUMPRODUCT(--ISNUMBER(SEARCH({"electrical","loto","cable"},LOWER(C28))))&gt;0,"Electrical",IF(SUMPRODUCT(--ISNUMBER(SEARCH({"ptw","permit"},LOWER(C28))))&gt;0,"Work Permits / PTW","Other")))))))</f>
        <v/>
      </c>
      <c r="G28" s="5">
        <f>IF(C28="","",IF(SUMPRODUCT(--ISNUMBER(SEARCH({"confined","live","no harness","gas"},LOWER(C28))))&gt;0,"Critical",IF(SUMPRODUCT(--ISNUMBER(SEARCH({"scaffold","excav","lift","electrical","ptw"},LOWER(C28))))&gt;0,"High","Medium")))</f>
        <v/>
      </c>
      <c r="H28" s="7" t="n"/>
    </row>
    <row r="29" ht="48" customHeight="1">
      <c r="B29" s="7" t="n"/>
      <c r="C29" s="7" t="n"/>
      <c r="D29" s="5">
        <f>IF(C29="","",IF(SUMPRODUCT(--ISNUMBER(SEARCH({"lift","crane","sling","rigging"},LOWER(C29))))&gt;0,"EHS Observation — Lifting Operations: Unsafe lifting practice observed. Stop-work until lift plan and competent rigger are verified.",IF(SUMPRODUCT(--ISNUMBER(SEARCH({"scaffold"},LOWER(C29))))&gt;0,"EHS Observation — Scaffolding: Incomplete/incorrectly tagged scaffold. Red-tag and prohibit access.",IF(SUMPRODUCT(--ISNUMBER(SEARCH({"excav","trench"},LOWER(C29))))&gt;0,"EHS Observation — Excavation: Inadequate excavation controls. Stop until shoring/services verified.",IF(SUMPRODUCT(--ISNUMBER(SEARCH({"confined","tank","gas test"},LOWER(C29))))&gt;0,"EHS Observation — Confined Space: Uncontrolled entry. Evacuate and re-issue CS PTW.",IF(SUMPRODUCT(--ISNUMBER(SEARCH({"harness","height","edge","roof"},LOWER(C29))))&gt;0,"EHS Observation — Working at Height: Unprotected edge / no 100% tie-off. Life-saving rule breach.",IF(SUMPRODUCT(--ISNUMBER(SEARCH({"electrical","cable","loto"},LOWER(C29))))&gt;0,"EHS Observation — Electrical: Live services without isolation/LOTO.",IF(SUMPRODUCT(--ISNUMBER(SEARCH({"ptw","permit"},LOWER(C29))))&gt;0,"EHS Observation — Work Permit: Missing or expired PTW.","EHS Observation: Unsafe act/condition — make safe and record in tracker."))))))))</f>
        <v/>
      </c>
      <c r="E29" s="5">
        <f>IF(C29="","","1) CORRECTIVE: Stop &amp; make safe. 2) CONTAINMENT: Barricade/tag-out. 3) PREVENTIVE: TBT 24h + JSA update + competency check. 4) VERIFY: EHS restart inspection with evidence.")</f>
        <v/>
      </c>
      <c r="F29" s="5">
        <f>IF(C29="","",IF(SUMPRODUCT(--ISNUMBER(SEARCH({"lift","crane","sling"},LOWER(C29))))&gt;0,"Lifting Operations",IF(SUMPRODUCT(--ISNUMBER(SEARCH({"scaffold"},LOWER(C29))))&gt;0,"Scaffolding",IF(SUMPRODUCT(--ISNUMBER(SEARCH({"excav"},LOWER(C29))))&gt;0,"Excavation",IF(SUMPRODUCT(--ISNUMBER(SEARCH({"confined","tank"},LOWER(C29))))&gt;0,"Confined Space",IF(SUMPRODUCT(--ISNUMBER(SEARCH({"height","harness","roof"},LOWER(C29))))&gt;0,"Working at Height",IF(SUMPRODUCT(--ISNUMBER(SEARCH({"electrical","loto","cable"},LOWER(C29))))&gt;0,"Electrical",IF(SUMPRODUCT(--ISNUMBER(SEARCH({"ptw","permit"},LOWER(C29))))&gt;0,"Work Permits / PTW","Other")))))))</f>
        <v/>
      </c>
      <c r="G29" s="5">
        <f>IF(C29="","",IF(SUMPRODUCT(--ISNUMBER(SEARCH({"confined","live","no harness","gas"},LOWER(C29))))&gt;0,"Critical",IF(SUMPRODUCT(--ISNUMBER(SEARCH({"scaffold","excav","lift","electrical","ptw"},LOWER(C29))))&gt;0,"High","Medium")))</f>
        <v/>
      </c>
      <c r="H29" s="7" t="n"/>
    </row>
    <row r="30" ht="48" customHeight="1">
      <c r="B30" s="7" t="n"/>
      <c r="C30" s="7" t="n"/>
      <c r="D30" s="5">
        <f>IF(C30="","",IF(SUMPRODUCT(--ISNUMBER(SEARCH({"lift","crane","sling","rigging"},LOWER(C30))))&gt;0,"EHS Observation — Lifting Operations: Unsafe lifting practice observed. Stop-work until lift plan and competent rigger are verified.",IF(SUMPRODUCT(--ISNUMBER(SEARCH({"scaffold"},LOWER(C30))))&gt;0,"EHS Observation — Scaffolding: Incomplete/incorrectly tagged scaffold. Red-tag and prohibit access.",IF(SUMPRODUCT(--ISNUMBER(SEARCH({"excav","trench"},LOWER(C30))))&gt;0,"EHS Observation — Excavation: Inadequate excavation controls. Stop until shoring/services verified.",IF(SUMPRODUCT(--ISNUMBER(SEARCH({"confined","tank","gas test"},LOWER(C30))))&gt;0,"EHS Observation — Confined Space: Uncontrolled entry. Evacuate and re-issue CS PTW.",IF(SUMPRODUCT(--ISNUMBER(SEARCH({"harness","height","edge","roof"},LOWER(C30))))&gt;0,"EHS Observation — Working at Height: Unprotected edge / no 100% tie-off. Life-saving rule breach.",IF(SUMPRODUCT(--ISNUMBER(SEARCH({"electrical","cable","loto"},LOWER(C30))))&gt;0,"EHS Observation — Electrical: Live services without isolation/LOTO.",IF(SUMPRODUCT(--ISNUMBER(SEARCH({"ptw","permit"},LOWER(C30))))&gt;0,"EHS Observation — Work Permit: Missing or expired PTW.","EHS Observation: Unsafe act/condition — make safe and record in tracker."))))))))</f>
        <v/>
      </c>
      <c r="E30" s="5">
        <f>IF(C30="","","1) CORRECTIVE: Stop &amp; make safe. 2) CONTAINMENT: Barricade/tag-out. 3) PREVENTIVE: TBT 24h + JSA update + competency check. 4) VERIFY: EHS restart inspection with evidence.")</f>
        <v/>
      </c>
      <c r="F30" s="5">
        <f>IF(C30="","",IF(SUMPRODUCT(--ISNUMBER(SEARCH({"lift","crane","sling"},LOWER(C30))))&gt;0,"Lifting Operations",IF(SUMPRODUCT(--ISNUMBER(SEARCH({"scaffold"},LOWER(C30))))&gt;0,"Scaffolding",IF(SUMPRODUCT(--ISNUMBER(SEARCH({"excav"},LOWER(C30))))&gt;0,"Excavation",IF(SUMPRODUCT(--ISNUMBER(SEARCH({"confined","tank"},LOWER(C30))))&gt;0,"Confined Space",IF(SUMPRODUCT(--ISNUMBER(SEARCH({"height","harness","roof"},LOWER(C30))))&gt;0,"Working at Height",IF(SUMPRODUCT(--ISNUMBER(SEARCH({"electrical","loto","cable"},LOWER(C30))))&gt;0,"Electrical",IF(SUMPRODUCT(--ISNUMBER(SEARCH({"ptw","permit"},LOWER(C30))))&gt;0,"Work Permits / PTW","Other")))))))</f>
        <v/>
      </c>
      <c r="G30" s="5">
        <f>IF(C30="","",IF(SUMPRODUCT(--ISNUMBER(SEARCH({"confined","live","no harness","gas"},LOWER(C30))))&gt;0,"Critical",IF(SUMPRODUCT(--ISNUMBER(SEARCH({"scaffold","excav","lift","electrical","ptw"},LOWER(C30))))&gt;0,"High","Medium")))</f>
        <v/>
      </c>
      <c r="H30" s="7" t="n"/>
    </row>
    <row r="31" ht="48" customHeight="1">
      <c r="B31" s="7" t="n"/>
      <c r="C31" s="7" t="n"/>
      <c r="D31" s="5">
        <f>IF(C31="","",IF(SUMPRODUCT(--ISNUMBER(SEARCH({"lift","crane","sling","rigging"},LOWER(C31))))&gt;0,"EHS Observation — Lifting Operations: Unsafe lifting practice observed. Stop-work until lift plan and competent rigger are verified.",IF(SUMPRODUCT(--ISNUMBER(SEARCH({"scaffold"},LOWER(C31))))&gt;0,"EHS Observation — Scaffolding: Incomplete/incorrectly tagged scaffold. Red-tag and prohibit access.",IF(SUMPRODUCT(--ISNUMBER(SEARCH({"excav","trench"},LOWER(C31))))&gt;0,"EHS Observation — Excavation: Inadequate excavation controls. Stop until shoring/services verified.",IF(SUMPRODUCT(--ISNUMBER(SEARCH({"confined","tank","gas test"},LOWER(C31))))&gt;0,"EHS Observation — Confined Space: Uncontrolled entry. Evacuate and re-issue CS PTW.",IF(SUMPRODUCT(--ISNUMBER(SEARCH({"harness","height","edge","roof"},LOWER(C31))))&gt;0,"EHS Observation — Working at Height: Unprotected edge / no 100% tie-off. Life-saving rule breach.",IF(SUMPRODUCT(--ISNUMBER(SEARCH({"electrical","cable","loto"},LOWER(C31))))&gt;0,"EHS Observation — Electrical: Live services without isolation/LOTO.",IF(SUMPRODUCT(--ISNUMBER(SEARCH({"ptw","permit"},LOWER(C31))))&gt;0,"EHS Observation — Work Permit: Missing or expired PTW.","EHS Observation: Unsafe act/condition — make safe and record in tracker."))))))))</f>
        <v/>
      </c>
      <c r="E31" s="5">
        <f>IF(C31="","","1) CORRECTIVE: Stop &amp; make safe. 2) CONTAINMENT: Barricade/tag-out. 3) PREVENTIVE: TBT 24h + JSA update + competency check. 4) VERIFY: EHS restart inspection with evidence.")</f>
        <v/>
      </c>
      <c r="F31" s="5">
        <f>IF(C31="","",IF(SUMPRODUCT(--ISNUMBER(SEARCH({"lift","crane","sling"},LOWER(C31))))&gt;0,"Lifting Operations",IF(SUMPRODUCT(--ISNUMBER(SEARCH({"scaffold"},LOWER(C31))))&gt;0,"Scaffolding",IF(SUMPRODUCT(--ISNUMBER(SEARCH({"excav"},LOWER(C31))))&gt;0,"Excavation",IF(SUMPRODUCT(--ISNUMBER(SEARCH({"confined","tank"},LOWER(C31))))&gt;0,"Confined Space",IF(SUMPRODUCT(--ISNUMBER(SEARCH({"height","harness","roof"},LOWER(C31))))&gt;0,"Working at Height",IF(SUMPRODUCT(--ISNUMBER(SEARCH({"electrical","loto","cable"},LOWER(C31))))&gt;0,"Electrical",IF(SUMPRODUCT(--ISNUMBER(SEARCH({"ptw","permit"},LOWER(C31))))&gt;0,"Work Permits / PTW","Other")))))))</f>
        <v/>
      </c>
      <c r="G31" s="5">
        <f>IF(C31="","",IF(SUMPRODUCT(--ISNUMBER(SEARCH({"confined","live","no harness","gas"},LOWER(C31))))&gt;0,"Critical",IF(SUMPRODUCT(--ISNUMBER(SEARCH({"scaffold","excav","lift","electrical","ptw"},LOWER(C31))))&gt;0,"High","Medium")))</f>
        <v/>
      </c>
      <c r="H31" s="7" t="n"/>
    </row>
    <row r="32" ht="48" customHeight="1">
      <c r="B32" s="7" t="n"/>
      <c r="C32" s="7" t="n"/>
      <c r="D32" s="5">
        <f>IF(C32="","",IF(SUMPRODUCT(--ISNUMBER(SEARCH({"lift","crane","sling","rigging"},LOWER(C32))))&gt;0,"EHS Observation — Lifting Operations: Unsafe lifting practice observed. Stop-work until lift plan and competent rigger are verified.",IF(SUMPRODUCT(--ISNUMBER(SEARCH({"scaffold"},LOWER(C32))))&gt;0,"EHS Observation — Scaffolding: Incomplete/incorrectly tagged scaffold. Red-tag and prohibit access.",IF(SUMPRODUCT(--ISNUMBER(SEARCH({"excav","trench"},LOWER(C32))))&gt;0,"EHS Observation — Excavation: Inadequate excavation controls. Stop until shoring/services verified.",IF(SUMPRODUCT(--ISNUMBER(SEARCH({"confined","tank","gas test"},LOWER(C32))))&gt;0,"EHS Observation — Confined Space: Uncontrolled entry. Evacuate and re-issue CS PTW.",IF(SUMPRODUCT(--ISNUMBER(SEARCH({"harness","height","edge","roof"},LOWER(C32))))&gt;0,"EHS Observation — Working at Height: Unprotected edge / no 100% tie-off. Life-saving rule breach.",IF(SUMPRODUCT(--ISNUMBER(SEARCH({"electrical","cable","loto"},LOWER(C32))))&gt;0,"EHS Observation — Electrical: Live services without isolation/LOTO.",IF(SUMPRODUCT(--ISNUMBER(SEARCH({"ptw","permit"},LOWER(C32))))&gt;0,"EHS Observation — Work Permit: Missing or expired PTW.","EHS Observation: Unsafe act/condition — make safe and record in tracker."))))))))</f>
        <v/>
      </c>
      <c r="E32" s="5">
        <f>IF(C32="","","1) CORRECTIVE: Stop &amp; make safe. 2) CONTAINMENT: Barricade/tag-out. 3) PREVENTIVE: TBT 24h + JSA update + competency check. 4) VERIFY: EHS restart inspection with evidence.")</f>
        <v/>
      </c>
      <c r="F32" s="5">
        <f>IF(C32="","",IF(SUMPRODUCT(--ISNUMBER(SEARCH({"lift","crane","sling"},LOWER(C32))))&gt;0,"Lifting Operations",IF(SUMPRODUCT(--ISNUMBER(SEARCH({"scaffold"},LOWER(C32))))&gt;0,"Scaffolding",IF(SUMPRODUCT(--ISNUMBER(SEARCH({"excav"},LOWER(C32))))&gt;0,"Excavation",IF(SUMPRODUCT(--ISNUMBER(SEARCH({"confined","tank"},LOWER(C32))))&gt;0,"Confined Space",IF(SUMPRODUCT(--ISNUMBER(SEARCH({"height","harness","roof"},LOWER(C32))))&gt;0,"Working at Height",IF(SUMPRODUCT(--ISNUMBER(SEARCH({"electrical","loto","cable"},LOWER(C32))))&gt;0,"Electrical",IF(SUMPRODUCT(--ISNUMBER(SEARCH({"ptw","permit"},LOWER(C32))))&gt;0,"Work Permits / PTW","Other")))))))</f>
        <v/>
      </c>
      <c r="G32" s="5">
        <f>IF(C32="","",IF(SUMPRODUCT(--ISNUMBER(SEARCH({"confined","live","no harness","gas"},LOWER(C32))))&gt;0,"Critical",IF(SUMPRODUCT(--ISNUMBER(SEARCH({"scaffold","excav","lift","electrical","ptw"},LOWER(C32))))&gt;0,"High","Medium")))</f>
        <v/>
      </c>
      <c r="H32" s="7" t="n"/>
    </row>
    <row r="33" ht="48" customHeight="1">
      <c r="B33" s="7" t="n"/>
      <c r="C33" s="7" t="n"/>
      <c r="D33" s="5">
        <f>IF(C33="","",IF(SUMPRODUCT(--ISNUMBER(SEARCH({"lift","crane","sling","rigging"},LOWER(C33))))&gt;0,"EHS Observation — Lifting Operations: Unsafe lifting practice observed. Stop-work until lift plan and competent rigger are verified.",IF(SUMPRODUCT(--ISNUMBER(SEARCH({"scaffold"},LOWER(C33))))&gt;0,"EHS Observation — Scaffolding: Incomplete/incorrectly tagged scaffold. Red-tag and prohibit access.",IF(SUMPRODUCT(--ISNUMBER(SEARCH({"excav","trench"},LOWER(C33))))&gt;0,"EHS Observation — Excavation: Inadequate excavation controls. Stop until shoring/services verified.",IF(SUMPRODUCT(--ISNUMBER(SEARCH({"confined","tank","gas test"},LOWER(C33))))&gt;0,"EHS Observation — Confined Space: Uncontrolled entry. Evacuate and re-issue CS PTW.",IF(SUMPRODUCT(--ISNUMBER(SEARCH({"harness","height","edge","roof"},LOWER(C33))))&gt;0,"EHS Observation — Working at Height: Unprotected edge / no 100% tie-off. Life-saving rule breach.",IF(SUMPRODUCT(--ISNUMBER(SEARCH({"electrical","cable","loto"},LOWER(C33))))&gt;0,"EHS Observation — Electrical: Live services without isolation/LOTO.",IF(SUMPRODUCT(--ISNUMBER(SEARCH({"ptw","permit"},LOWER(C33))))&gt;0,"EHS Observation — Work Permit: Missing or expired PTW.","EHS Observation: Unsafe act/condition — make safe and record in tracker."))))))))</f>
        <v/>
      </c>
      <c r="E33" s="5">
        <f>IF(C33="","","1) CORRECTIVE: Stop &amp; make safe. 2) CONTAINMENT: Barricade/tag-out. 3) PREVENTIVE: TBT 24h + JSA update + competency check. 4) VERIFY: EHS restart inspection with evidence.")</f>
        <v/>
      </c>
      <c r="F33" s="5">
        <f>IF(C33="","",IF(SUMPRODUCT(--ISNUMBER(SEARCH({"lift","crane","sling"},LOWER(C33))))&gt;0,"Lifting Operations",IF(SUMPRODUCT(--ISNUMBER(SEARCH({"scaffold"},LOWER(C33))))&gt;0,"Scaffolding",IF(SUMPRODUCT(--ISNUMBER(SEARCH({"excav"},LOWER(C33))))&gt;0,"Excavation",IF(SUMPRODUCT(--ISNUMBER(SEARCH({"confined","tank"},LOWER(C33))))&gt;0,"Confined Space",IF(SUMPRODUCT(--ISNUMBER(SEARCH({"height","harness","roof"},LOWER(C33))))&gt;0,"Working at Height",IF(SUMPRODUCT(--ISNUMBER(SEARCH({"electrical","loto","cable"},LOWER(C33))))&gt;0,"Electrical",IF(SUMPRODUCT(--ISNUMBER(SEARCH({"ptw","permit"},LOWER(C33))))&gt;0,"Work Permits / PTW","Other")))))))</f>
        <v/>
      </c>
      <c r="G33" s="5">
        <f>IF(C33="","",IF(SUMPRODUCT(--ISNUMBER(SEARCH({"confined","live","no harness","gas"},LOWER(C33))))&gt;0,"Critical",IF(SUMPRODUCT(--ISNUMBER(SEARCH({"scaffold","excav","lift","electrical","ptw"},LOWER(C33))))&gt;0,"High","Medium")))</f>
        <v/>
      </c>
      <c r="H33" s="7" t="n"/>
    </row>
    <row r="34" ht="48" customHeight="1">
      <c r="B34" s="7" t="n"/>
      <c r="C34" s="7" t="n"/>
      <c r="D34" s="5">
        <f>IF(C34="","",IF(SUMPRODUCT(--ISNUMBER(SEARCH({"lift","crane","sling","rigging"},LOWER(C34))))&gt;0,"EHS Observation — Lifting Operations: Unsafe lifting practice observed. Stop-work until lift plan and competent rigger are verified.",IF(SUMPRODUCT(--ISNUMBER(SEARCH({"scaffold"},LOWER(C34))))&gt;0,"EHS Observation — Scaffolding: Incomplete/incorrectly tagged scaffold. Red-tag and prohibit access.",IF(SUMPRODUCT(--ISNUMBER(SEARCH({"excav","trench"},LOWER(C34))))&gt;0,"EHS Observation — Excavation: Inadequate excavation controls. Stop until shoring/services verified.",IF(SUMPRODUCT(--ISNUMBER(SEARCH({"confined","tank","gas test"},LOWER(C34))))&gt;0,"EHS Observation — Confined Space: Uncontrolled entry. Evacuate and re-issue CS PTW.",IF(SUMPRODUCT(--ISNUMBER(SEARCH({"harness","height","edge","roof"},LOWER(C34))))&gt;0,"EHS Observation — Working at Height: Unprotected edge / no 100% tie-off. Life-saving rule breach.",IF(SUMPRODUCT(--ISNUMBER(SEARCH({"electrical","cable","loto"},LOWER(C34))))&gt;0,"EHS Observation — Electrical: Live services without isolation/LOTO.",IF(SUMPRODUCT(--ISNUMBER(SEARCH({"ptw","permit"},LOWER(C34))))&gt;0,"EHS Observation — Work Permit: Missing or expired PTW.","EHS Observation: Unsafe act/condition — make safe and record in tracker."))))))))</f>
        <v/>
      </c>
      <c r="E34" s="5">
        <f>IF(C34="","","1) CORRECTIVE: Stop &amp; make safe. 2) CONTAINMENT: Barricade/tag-out. 3) PREVENTIVE: TBT 24h + JSA update + competency check. 4) VERIFY: EHS restart inspection with evidence.")</f>
        <v/>
      </c>
      <c r="F34" s="5">
        <f>IF(C34="","",IF(SUMPRODUCT(--ISNUMBER(SEARCH({"lift","crane","sling"},LOWER(C34))))&gt;0,"Lifting Operations",IF(SUMPRODUCT(--ISNUMBER(SEARCH({"scaffold"},LOWER(C34))))&gt;0,"Scaffolding",IF(SUMPRODUCT(--ISNUMBER(SEARCH({"excav"},LOWER(C34))))&gt;0,"Excavation",IF(SUMPRODUCT(--ISNUMBER(SEARCH({"confined","tank"},LOWER(C34))))&gt;0,"Confined Space",IF(SUMPRODUCT(--ISNUMBER(SEARCH({"height","harness","roof"},LOWER(C34))))&gt;0,"Working at Height",IF(SUMPRODUCT(--ISNUMBER(SEARCH({"electrical","loto","cable"},LOWER(C34))))&gt;0,"Electrical",IF(SUMPRODUCT(--ISNUMBER(SEARCH({"ptw","permit"},LOWER(C34))))&gt;0,"Work Permits / PTW","Other")))))))</f>
        <v/>
      </c>
      <c r="G34" s="5">
        <f>IF(C34="","",IF(SUMPRODUCT(--ISNUMBER(SEARCH({"confined","live","no harness","gas"},LOWER(C34))))&gt;0,"Critical",IF(SUMPRODUCT(--ISNUMBER(SEARCH({"scaffold","excav","lift","electrical","ptw"},LOWER(C34))))&gt;0,"High","Medium")))</f>
        <v/>
      </c>
      <c r="H34" s="7" t="n"/>
    </row>
    <row r="35" ht="48" customHeight="1">
      <c r="B35" s="7" t="n"/>
      <c r="C35" s="7" t="n"/>
      <c r="D35" s="5">
        <f>IF(C35="","",IF(SUMPRODUCT(--ISNUMBER(SEARCH({"lift","crane","sling","rigging"},LOWER(C35))))&gt;0,"EHS Observation — Lifting Operations: Unsafe lifting practice observed. Stop-work until lift plan and competent rigger are verified.",IF(SUMPRODUCT(--ISNUMBER(SEARCH({"scaffold"},LOWER(C35))))&gt;0,"EHS Observation — Scaffolding: Incomplete/incorrectly tagged scaffold. Red-tag and prohibit access.",IF(SUMPRODUCT(--ISNUMBER(SEARCH({"excav","trench"},LOWER(C35))))&gt;0,"EHS Observation — Excavation: Inadequate excavation controls. Stop until shoring/services verified.",IF(SUMPRODUCT(--ISNUMBER(SEARCH({"confined","tank","gas test"},LOWER(C35))))&gt;0,"EHS Observation — Confined Space: Uncontrolled entry. Evacuate and re-issue CS PTW.",IF(SUMPRODUCT(--ISNUMBER(SEARCH({"harness","height","edge","roof"},LOWER(C35))))&gt;0,"EHS Observation — Working at Height: Unprotected edge / no 100% tie-off. Life-saving rule breach.",IF(SUMPRODUCT(--ISNUMBER(SEARCH({"electrical","cable","loto"},LOWER(C35))))&gt;0,"EHS Observation — Electrical: Live services without isolation/LOTO.",IF(SUMPRODUCT(--ISNUMBER(SEARCH({"ptw","permit"},LOWER(C35))))&gt;0,"EHS Observation — Work Permit: Missing or expired PTW.","EHS Observation: Unsafe act/condition — make safe and record in tracker."))))))))</f>
        <v/>
      </c>
      <c r="E35" s="5">
        <f>IF(C35="","","1) CORRECTIVE: Stop &amp; make safe. 2) CONTAINMENT: Barricade/tag-out. 3) PREVENTIVE: TBT 24h + JSA update + competency check. 4) VERIFY: EHS restart inspection with evidence.")</f>
        <v/>
      </c>
      <c r="F35" s="5">
        <f>IF(C35="","",IF(SUMPRODUCT(--ISNUMBER(SEARCH({"lift","crane","sling"},LOWER(C35))))&gt;0,"Lifting Operations",IF(SUMPRODUCT(--ISNUMBER(SEARCH({"scaffold"},LOWER(C35))))&gt;0,"Scaffolding",IF(SUMPRODUCT(--ISNUMBER(SEARCH({"excav"},LOWER(C35))))&gt;0,"Excavation",IF(SUMPRODUCT(--ISNUMBER(SEARCH({"confined","tank"},LOWER(C35))))&gt;0,"Confined Space",IF(SUMPRODUCT(--ISNUMBER(SEARCH({"height","harness","roof"},LOWER(C35))))&gt;0,"Working at Height",IF(SUMPRODUCT(--ISNUMBER(SEARCH({"electrical","loto","cable"},LOWER(C35))))&gt;0,"Electrical",IF(SUMPRODUCT(--ISNUMBER(SEARCH({"ptw","permit"},LOWER(C35))))&gt;0,"Work Permits / PTW","Other")))))))</f>
        <v/>
      </c>
      <c r="G35" s="5">
        <f>IF(C35="","",IF(SUMPRODUCT(--ISNUMBER(SEARCH({"confined","live","no harness","gas"},LOWER(C35))))&gt;0,"Critical",IF(SUMPRODUCT(--ISNUMBER(SEARCH({"scaffold","excav","lift","electrical","ptw"},LOWER(C35))))&gt;0,"High","Medium")))</f>
        <v/>
      </c>
      <c r="H35" s="7" t="n"/>
    </row>
    <row r="36" ht="48" customHeight="1">
      <c r="B36" s="7" t="n"/>
      <c r="C36" s="7" t="n"/>
      <c r="D36" s="5">
        <f>IF(C36="","",IF(SUMPRODUCT(--ISNUMBER(SEARCH({"lift","crane","sling","rigging"},LOWER(C36))))&gt;0,"EHS Observation — Lifting Operations: Unsafe lifting practice observed. Stop-work until lift plan and competent rigger are verified.",IF(SUMPRODUCT(--ISNUMBER(SEARCH({"scaffold"},LOWER(C36))))&gt;0,"EHS Observation — Scaffolding: Incomplete/incorrectly tagged scaffold. Red-tag and prohibit access.",IF(SUMPRODUCT(--ISNUMBER(SEARCH({"excav","trench"},LOWER(C36))))&gt;0,"EHS Observation — Excavation: Inadequate excavation controls. Stop until shoring/services verified.",IF(SUMPRODUCT(--ISNUMBER(SEARCH({"confined","tank","gas test"},LOWER(C36))))&gt;0,"EHS Observation — Confined Space: Uncontrolled entry. Evacuate and re-issue CS PTW.",IF(SUMPRODUCT(--ISNUMBER(SEARCH({"harness","height","edge","roof"},LOWER(C36))))&gt;0,"EHS Observation — Working at Height: Unprotected edge / no 100% tie-off. Life-saving rule breach.",IF(SUMPRODUCT(--ISNUMBER(SEARCH({"electrical","cable","loto"},LOWER(C36))))&gt;0,"EHS Observation — Electrical: Live services without isolation/LOTO.",IF(SUMPRODUCT(--ISNUMBER(SEARCH({"ptw","permit"},LOWER(C36))))&gt;0,"EHS Observation — Work Permit: Missing or expired PTW.","EHS Observation: Unsafe act/condition — make safe and record in tracker."))))))))</f>
        <v/>
      </c>
      <c r="E36" s="5">
        <f>IF(C36="","","1) CORRECTIVE: Stop &amp; make safe. 2) CONTAINMENT: Barricade/tag-out. 3) PREVENTIVE: TBT 24h + JSA update + competency check. 4) VERIFY: EHS restart inspection with evidence.")</f>
        <v/>
      </c>
      <c r="F36" s="5">
        <f>IF(C36="","",IF(SUMPRODUCT(--ISNUMBER(SEARCH({"lift","crane","sling"},LOWER(C36))))&gt;0,"Lifting Operations",IF(SUMPRODUCT(--ISNUMBER(SEARCH({"scaffold"},LOWER(C36))))&gt;0,"Scaffolding",IF(SUMPRODUCT(--ISNUMBER(SEARCH({"excav"},LOWER(C36))))&gt;0,"Excavation",IF(SUMPRODUCT(--ISNUMBER(SEARCH({"confined","tank"},LOWER(C36))))&gt;0,"Confined Space",IF(SUMPRODUCT(--ISNUMBER(SEARCH({"height","harness","roof"},LOWER(C36))))&gt;0,"Working at Height",IF(SUMPRODUCT(--ISNUMBER(SEARCH({"electrical","loto","cable"},LOWER(C36))))&gt;0,"Electrical",IF(SUMPRODUCT(--ISNUMBER(SEARCH({"ptw","permit"},LOWER(C36))))&gt;0,"Work Permits / PTW","Other")))))))</f>
        <v/>
      </c>
      <c r="G36" s="5">
        <f>IF(C36="","",IF(SUMPRODUCT(--ISNUMBER(SEARCH({"confined","live","no harness","gas"},LOWER(C36))))&gt;0,"Critical",IF(SUMPRODUCT(--ISNUMBER(SEARCH({"scaffold","excav","lift","electrical","ptw"},LOWER(C36))))&gt;0,"High","Medium")))</f>
        <v/>
      </c>
      <c r="H36" s="7" t="n"/>
    </row>
    <row r="37" ht="48" customHeight="1">
      <c r="B37" s="7" t="n"/>
      <c r="C37" s="7" t="n"/>
      <c r="D37" s="5">
        <f>IF(C37="","",IF(SUMPRODUCT(--ISNUMBER(SEARCH({"lift","crane","sling","rigging"},LOWER(C37))))&gt;0,"EHS Observation — Lifting Operations: Unsafe lifting practice observed. Stop-work until lift plan and competent rigger are verified.",IF(SUMPRODUCT(--ISNUMBER(SEARCH({"scaffold"},LOWER(C37))))&gt;0,"EHS Observation — Scaffolding: Incomplete/incorrectly tagged scaffold. Red-tag and prohibit access.",IF(SUMPRODUCT(--ISNUMBER(SEARCH({"excav","trench"},LOWER(C37))))&gt;0,"EHS Observation — Excavation: Inadequate excavation controls. Stop until shoring/services verified.",IF(SUMPRODUCT(--ISNUMBER(SEARCH({"confined","tank","gas test"},LOWER(C37))))&gt;0,"EHS Observation — Confined Space: Uncontrolled entry. Evacuate and re-issue CS PTW.",IF(SUMPRODUCT(--ISNUMBER(SEARCH({"harness","height","edge","roof"},LOWER(C37))))&gt;0,"EHS Observation — Working at Height: Unprotected edge / no 100% tie-off. Life-saving rule breach.",IF(SUMPRODUCT(--ISNUMBER(SEARCH({"electrical","cable","loto"},LOWER(C37))))&gt;0,"EHS Observation — Electrical: Live services without isolation/LOTO.",IF(SUMPRODUCT(--ISNUMBER(SEARCH({"ptw","permit"},LOWER(C37))))&gt;0,"EHS Observation — Work Permit: Missing or expired PTW.","EHS Observation: Unsafe act/condition — make safe and record in tracker."))))))))</f>
        <v/>
      </c>
      <c r="E37" s="5">
        <f>IF(C37="","","1) CORRECTIVE: Stop &amp; make safe. 2) CONTAINMENT: Barricade/tag-out. 3) PREVENTIVE: TBT 24h + JSA update + competency check. 4) VERIFY: EHS restart inspection with evidence.")</f>
        <v/>
      </c>
      <c r="F37" s="5">
        <f>IF(C37="","",IF(SUMPRODUCT(--ISNUMBER(SEARCH({"lift","crane","sling"},LOWER(C37))))&gt;0,"Lifting Operations",IF(SUMPRODUCT(--ISNUMBER(SEARCH({"scaffold"},LOWER(C37))))&gt;0,"Scaffolding",IF(SUMPRODUCT(--ISNUMBER(SEARCH({"excav"},LOWER(C37))))&gt;0,"Excavation",IF(SUMPRODUCT(--ISNUMBER(SEARCH({"confined","tank"},LOWER(C37))))&gt;0,"Confined Space",IF(SUMPRODUCT(--ISNUMBER(SEARCH({"height","harness","roof"},LOWER(C37))))&gt;0,"Working at Height",IF(SUMPRODUCT(--ISNUMBER(SEARCH({"electrical","loto","cable"},LOWER(C37))))&gt;0,"Electrical",IF(SUMPRODUCT(--ISNUMBER(SEARCH({"ptw","permit"},LOWER(C37))))&gt;0,"Work Permits / PTW","Other")))))))</f>
        <v/>
      </c>
      <c r="G37" s="5">
        <f>IF(C37="","",IF(SUMPRODUCT(--ISNUMBER(SEARCH({"confined","live","no harness","gas"},LOWER(C37))))&gt;0,"Critical",IF(SUMPRODUCT(--ISNUMBER(SEARCH({"scaffold","excav","lift","electrical","ptw"},LOWER(C37))))&gt;0,"High","Medium")))</f>
        <v/>
      </c>
      <c r="H37" s="7" t="n"/>
    </row>
    <row r="38" ht="48" customHeight="1">
      <c r="B38" s="7" t="n"/>
      <c r="C38" s="7" t="n"/>
      <c r="D38" s="5">
        <f>IF(C38="","",IF(SUMPRODUCT(--ISNUMBER(SEARCH({"lift","crane","sling","rigging"},LOWER(C38))))&gt;0,"EHS Observation — Lifting Operations: Unsafe lifting practice observed. Stop-work until lift plan and competent rigger are verified.",IF(SUMPRODUCT(--ISNUMBER(SEARCH({"scaffold"},LOWER(C38))))&gt;0,"EHS Observation — Scaffolding: Incomplete/incorrectly tagged scaffold. Red-tag and prohibit access.",IF(SUMPRODUCT(--ISNUMBER(SEARCH({"excav","trench"},LOWER(C38))))&gt;0,"EHS Observation — Excavation: Inadequate excavation controls. Stop until shoring/services verified.",IF(SUMPRODUCT(--ISNUMBER(SEARCH({"confined","tank","gas test"},LOWER(C38))))&gt;0,"EHS Observation — Confined Space: Uncontrolled entry. Evacuate and re-issue CS PTW.",IF(SUMPRODUCT(--ISNUMBER(SEARCH({"harness","height","edge","roof"},LOWER(C38))))&gt;0,"EHS Observation — Working at Height: Unprotected edge / no 100% tie-off. Life-saving rule breach.",IF(SUMPRODUCT(--ISNUMBER(SEARCH({"electrical","cable","loto"},LOWER(C38))))&gt;0,"EHS Observation — Electrical: Live services without isolation/LOTO.",IF(SUMPRODUCT(--ISNUMBER(SEARCH({"ptw","permit"},LOWER(C38))))&gt;0,"EHS Observation — Work Permit: Missing or expired PTW.","EHS Observation: Unsafe act/condition — make safe and record in tracker."))))))))</f>
        <v/>
      </c>
      <c r="E38" s="5">
        <f>IF(C38="","","1) CORRECTIVE: Stop &amp; make safe. 2) CONTAINMENT: Barricade/tag-out. 3) PREVENTIVE: TBT 24h + JSA update + competency check. 4) VERIFY: EHS restart inspection with evidence.")</f>
        <v/>
      </c>
      <c r="F38" s="5">
        <f>IF(C38="","",IF(SUMPRODUCT(--ISNUMBER(SEARCH({"lift","crane","sling"},LOWER(C38))))&gt;0,"Lifting Operations",IF(SUMPRODUCT(--ISNUMBER(SEARCH({"scaffold"},LOWER(C38))))&gt;0,"Scaffolding",IF(SUMPRODUCT(--ISNUMBER(SEARCH({"excav"},LOWER(C38))))&gt;0,"Excavation",IF(SUMPRODUCT(--ISNUMBER(SEARCH({"confined","tank"},LOWER(C38))))&gt;0,"Confined Space",IF(SUMPRODUCT(--ISNUMBER(SEARCH({"height","harness","roof"},LOWER(C38))))&gt;0,"Working at Height",IF(SUMPRODUCT(--ISNUMBER(SEARCH({"electrical","loto","cable"},LOWER(C38))))&gt;0,"Electrical",IF(SUMPRODUCT(--ISNUMBER(SEARCH({"ptw","permit"},LOWER(C38))))&gt;0,"Work Permits / PTW","Other")))))))</f>
        <v/>
      </c>
      <c r="G38" s="5">
        <f>IF(C38="","",IF(SUMPRODUCT(--ISNUMBER(SEARCH({"confined","live","no harness","gas"},LOWER(C38))))&gt;0,"Critical",IF(SUMPRODUCT(--ISNUMBER(SEARCH({"scaffold","excav","lift","electrical","ptw"},LOWER(C38))))&gt;0,"High","Medium")))</f>
        <v/>
      </c>
      <c r="H38" s="7" t="n"/>
    </row>
    <row r="39" ht="48" customHeight="1">
      <c r="B39" s="7" t="n"/>
      <c r="C39" s="7" t="n"/>
      <c r="D39" s="5">
        <f>IF(C39="","",IF(SUMPRODUCT(--ISNUMBER(SEARCH({"lift","crane","sling","rigging"},LOWER(C39))))&gt;0,"EHS Observation — Lifting Operations: Unsafe lifting practice observed. Stop-work until lift plan and competent rigger are verified.",IF(SUMPRODUCT(--ISNUMBER(SEARCH({"scaffold"},LOWER(C39))))&gt;0,"EHS Observation — Scaffolding: Incomplete/incorrectly tagged scaffold. Red-tag and prohibit access.",IF(SUMPRODUCT(--ISNUMBER(SEARCH({"excav","trench"},LOWER(C39))))&gt;0,"EHS Observation — Excavation: Inadequate excavation controls. Stop until shoring/services verified.",IF(SUMPRODUCT(--ISNUMBER(SEARCH({"confined","tank","gas test"},LOWER(C39))))&gt;0,"EHS Observation — Confined Space: Uncontrolled entry. Evacuate and re-issue CS PTW.",IF(SUMPRODUCT(--ISNUMBER(SEARCH({"harness","height","edge","roof"},LOWER(C39))))&gt;0,"EHS Observation — Working at Height: Unprotected edge / no 100% tie-off. Life-saving rule breach.",IF(SUMPRODUCT(--ISNUMBER(SEARCH({"electrical","cable","loto"},LOWER(C39))))&gt;0,"EHS Observation — Electrical: Live services without isolation/LOTO.",IF(SUMPRODUCT(--ISNUMBER(SEARCH({"ptw","permit"},LOWER(C39))))&gt;0,"EHS Observation — Work Permit: Missing or expired PTW.","EHS Observation: Unsafe act/condition — make safe and record in tracker."))))))))</f>
        <v/>
      </c>
      <c r="E39" s="5">
        <f>IF(C39="","","1) CORRECTIVE: Stop &amp; make safe. 2) CONTAINMENT: Barricade/tag-out. 3) PREVENTIVE: TBT 24h + JSA update + competency check. 4) VERIFY: EHS restart inspection with evidence.")</f>
        <v/>
      </c>
      <c r="F39" s="5">
        <f>IF(C39="","",IF(SUMPRODUCT(--ISNUMBER(SEARCH({"lift","crane","sling"},LOWER(C39))))&gt;0,"Lifting Operations",IF(SUMPRODUCT(--ISNUMBER(SEARCH({"scaffold"},LOWER(C39))))&gt;0,"Scaffolding",IF(SUMPRODUCT(--ISNUMBER(SEARCH({"excav"},LOWER(C39))))&gt;0,"Excavation",IF(SUMPRODUCT(--ISNUMBER(SEARCH({"confined","tank"},LOWER(C39))))&gt;0,"Confined Space",IF(SUMPRODUCT(--ISNUMBER(SEARCH({"height","harness","roof"},LOWER(C39))))&gt;0,"Working at Height",IF(SUMPRODUCT(--ISNUMBER(SEARCH({"electrical","loto","cable"},LOWER(C39))))&gt;0,"Electrical",IF(SUMPRODUCT(--ISNUMBER(SEARCH({"ptw","permit"},LOWER(C39))))&gt;0,"Work Permits / PTW","Other")))))))</f>
        <v/>
      </c>
      <c r="G39" s="5">
        <f>IF(C39="","",IF(SUMPRODUCT(--ISNUMBER(SEARCH({"confined","live","no harness","gas"},LOWER(C39))))&gt;0,"Critical",IF(SUMPRODUCT(--ISNUMBER(SEARCH({"scaffold","excav","lift","electrical","ptw"},LOWER(C39))))&gt;0,"High","Medium")))</f>
        <v/>
      </c>
      <c r="H39" s="7" t="n"/>
    </row>
  </sheetData>
  <mergeCells count="4">
    <mergeCell ref="B4:E4"/>
    <mergeCell ref="B5:E7"/>
    <mergeCell ref="A2:H2"/>
    <mergeCell ref="A1:H1"/>
  </mergeCells>
  <pageMargins left="0.75" right="0.75" top="1" bottom="1" header="0.5" footer="0.5"/>
  <pageSetup orientation="landscape" paperSize="9" fitToHeight="0" fitToWidth="1"/>
  <headerFooter>
    <oddHeader>&amp;LKAZ PP Expansion | EHS</oddHeader>
    <oddFooter>&amp;RConfidential | 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6A085"/>
    <outlinePr summaryBelow="1" summaryRight="1"/>
    <pageSetUpPr fitToPage="1"/>
  </sheetPr>
  <dimension ref="A1:Q7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18" customWidth="1" min="4" max="4"/>
    <col width="22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16" customWidth="1" min="13" max="13"/>
    <col width="22" customWidth="1" min="14" max="14"/>
    <col width="22" customWidth="1" min="16" max="16"/>
    <col width="12" customWidth="1" min="17" max="17"/>
  </cols>
  <sheetData>
    <row r="1" ht="32" customHeight="1">
      <c r="A1" s="1" t="inlineStr">
        <is>
          <t>08  |  TRAINING &amp; COMPETENCY MATRIX (SKILLED LABOUR)</t>
        </is>
      </c>
    </row>
    <row r="2" ht="20" customHeight="1">
      <c r="A2" s="2" t="inlineStr">
        <is>
          <t>Conditional colour: GREEN valid | AMBER ≤30 days | RED ≤7 days or expired. Warning window = Admin!C12.</t>
        </is>
      </c>
    </row>
    <row r="4">
      <c r="B4" s="9" t="inlineStr">
        <is>
          <t>EMP-ID</t>
        </is>
      </c>
      <c r="C4" s="9" t="inlineStr">
        <is>
          <t>Full Name</t>
        </is>
      </c>
      <c r="D4" s="9" t="inlineStr">
        <is>
          <t>Badge / ID</t>
        </is>
      </c>
      <c r="E4" s="9" t="inlineStr">
        <is>
          <t>Trade / Certificate</t>
        </is>
      </c>
      <c r="F4" s="9" t="inlineStr">
        <is>
          <t>Employer</t>
        </is>
      </c>
      <c r="G4" s="9" t="inlineStr">
        <is>
          <t>Cert No.</t>
        </is>
      </c>
      <c r="H4" s="9" t="inlineStr">
        <is>
          <t>Issue Date</t>
        </is>
      </c>
      <c r="I4" s="9" t="inlineStr">
        <is>
          <t>Expiry Date</t>
        </is>
      </c>
      <c r="J4" s="9" t="inlineStr">
        <is>
          <t>Days to Expiry</t>
        </is>
      </c>
      <c r="K4" s="9" t="inlineStr">
        <is>
          <t>Status</t>
        </is>
      </c>
      <c r="L4" s="9" t="inlineStr">
        <is>
          <t>Provider / 3rd Party</t>
        </is>
      </c>
      <c r="M4" s="9" t="inlineStr">
        <is>
          <t>Refresh due</t>
        </is>
      </c>
      <c r="N4" s="9" t="inlineStr">
        <is>
          <t>Remarks</t>
        </is>
      </c>
      <c r="P4" t="inlineStr">
        <is>
          <t>Expired / Critical count</t>
        </is>
      </c>
      <c r="Q4" s="5">
        <f>COUNTIF(K5:K80,"EXPIRED")+COUNTIF(K5:K80,"CRITICAL ≤7d")</f>
        <v/>
      </c>
    </row>
    <row r="5">
      <c r="B5" s="7" t="inlineStr">
        <is>
          <t>EMP-001</t>
        </is>
      </c>
      <c r="C5" s="7" t="inlineStr">
        <is>
          <t>Mohammed Al-Farsi</t>
        </is>
      </c>
      <c r="D5" s="7" t="inlineStr">
        <is>
          <t>KAZ-1021</t>
        </is>
      </c>
      <c r="E5" s="7" t="inlineStr">
        <is>
          <t>Crane Operator</t>
        </is>
      </c>
      <c r="F5" s="7" t="inlineStr">
        <is>
          <t>Lifting Contractor E</t>
        </is>
      </c>
      <c r="G5" s="7" t="inlineStr">
        <is>
          <t>CO-8891</t>
        </is>
      </c>
      <c r="H5" s="42" t="n">
        <v>45809</v>
      </c>
      <c r="I5" s="42" t="n">
        <v>46174</v>
      </c>
      <c r="J5" s="5">
        <f>IF(I5="","",I5-TODAY())</f>
        <v/>
      </c>
      <c r="K5" s="5">
        <f>IF(I5="","",IF(J5&lt;0,"EXPIRED",IF(J5&lt;=Admin!$C$13,"CRITICAL ≤7d",IF(J5&lt;=Admin!$C$12,"WARNING ≤30d","VALID"))))</f>
        <v/>
      </c>
      <c r="M5" s="6">
        <f>IF(I5="","",I5-Admin!$C$12)</f>
        <v/>
      </c>
      <c r="P5" t="inlineStr">
        <is>
          <t>Warning ≤30d</t>
        </is>
      </c>
      <c r="Q5" s="5">
        <f>COUNTIF(K5:K80,"WARNING ≤30d")</f>
        <v/>
      </c>
    </row>
    <row r="6">
      <c r="B6" s="7" t="inlineStr">
        <is>
          <t>EMP-002</t>
        </is>
      </c>
      <c r="C6" s="7" t="inlineStr">
        <is>
          <t>Yousef Nasser</t>
        </is>
      </c>
      <c r="D6" s="7" t="inlineStr">
        <is>
          <t>KAZ-1022</t>
        </is>
      </c>
      <c r="E6" s="7" t="inlineStr">
        <is>
          <t>Rigger / Banksman</t>
        </is>
      </c>
      <c r="F6" s="7" t="inlineStr">
        <is>
          <t>Lifting Contractor E</t>
        </is>
      </c>
      <c r="G6" s="7" t="inlineStr">
        <is>
          <t>RG-4410</t>
        </is>
      </c>
      <c r="H6" s="42" t="n">
        <v>45757</v>
      </c>
      <c r="I6" s="42" t="n">
        <v>46122</v>
      </c>
      <c r="J6" s="5">
        <f>IF(I6="","",I6-TODAY())</f>
        <v/>
      </c>
      <c r="K6" s="5">
        <f>IF(I6="","",IF(J6&lt;0,"EXPIRED",IF(J6&lt;=Admin!$C$13,"CRITICAL ≤7d",IF(J6&lt;=Admin!$C$12,"WARNING ≤30d","VALID"))))</f>
        <v/>
      </c>
      <c r="M6" s="6">
        <f>IF(I6="","",I6-Admin!$C$12)</f>
        <v/>
      </c>
    </row>
    <row r="7">
      <c r="B7" s="7" t="inlineStr">
        <is>
          <t>EMP-003</t>
        </is>
      </c>
      <c r="C7" s="7" t="inlineStr">
        <is>
          <t>Fatima Saleh</t>
        </is>
      </c>
      <c r="D7" s="7" t="inlineStr">
        <is>
          <t>KAZ-0880</t>
        </is>
      </c>
      <c r="E7" s="7" t="inlineStr">
        <is>
          <t>First Aider / EMT</t>
        </is>
      </c>
      <c r="F7" s="7" t="inlineStr">
        <is>
          <t>Team Seisms</t>
        </is>
      </c>
      <c r="G7" s="7" t="inlineStr">
        <is>
          <t>FA-2201</t>
        </is>
      </c>
      <c r="H7" s="42" t="n">
        <v>45901</v>
      </c>
      <c r="I7" s="42" t="n">
        <v>46101</v>
      </c>
      <c r="J7" s="5">
        <f>IF(I7="","",I7-TODAY())</f>
        <v/>
      </c>
      <c r="K7" s="5">
        <f>IF(I7="","",IF(J7&lt;0,"EXPIRED",IF(J7&lt;=Admin!$C$13,"CRITICAL ≤7d",IF(J7&lt;=Admin!$C$12,"WARNING ≤30d","VALID"))))</f>
        <v/>
      </c>
      <c r="M7" s="6">
        <f>IF(I7="","",I7-Admin!$C$12)</f>
        <v/>
      </c>
    </row>
    <row r="8">
      <c r="B8" s="7" t="inlineStr">
        <is>
          <t>EMP-004</t>
        </is>
      </c>
      <c r="C8" s="7" t="inlineStr">
        <is>
          <t>Karim Haddad</t>
        </is>
      </c>
      <c r="D8" s="7" t="inlineStr">
        <is>
          <t>KAZ-1304</t>
        </is>
      </c>
      <c r="E8" s="7" t="inlineStr">
        <is>
          <t>Welder</t>
        </is>
      </c>
      <c r="F8" s="7" t="inlineStr">
        <is>
          <t>Mechanical Subcontractor B</t>
        </is>
      </c>
      <c r="G8" s="7" t="inlineStr">
        <is>
          <t>W-AWS-77</t>
        </is>
      </c>
      <c r="H8" s="42" t="n">
        <v>45627</v>
      </c>
      <c r="I8" s="42" t="n">
        <v>46096</v>
      </c>
      <c r="J8" s="5">
        <f>IF(I8="","",I8-TODAY())</f>
        <v/>
      </c>
      <c r="K8" s="5">
        <f>IF(I8="","",IF(J8&lt;0,"EXPIRED",IF(J8&lt;=Admin!$C$13,"CRITICAL ≤7d",IF(J8&lt;=Admin!$C$12,"WARNING ≤30d","VALID"))))</f>
        <v/>
      </c>
      <c r="M8" s="6">
        <f>IF(I8="","",I8-Admin!$C$12)</f>
        <v/>
      </c>
    </row>
    <row r="9">
      <c r="B9" s="7" t="inlineStr">
        <is>
          <t>EMP-005</t>
        </is>
      </c>
      <c r="C9" s="7" t="inlineStr">
        <is>
          <t>Sami Qasim</t>
        </is>
      </c>
      <c r="D9" s="7" t="inlineStr">
        <is>
          <t>KAZ-1502</t>
        </is>
      </c>
      <c r="E9" s="7" t="inlineStr">
        <is>
          <t>Scaffolder</t>
        </is>
      </c>
      <c r="F9" s="7" t="inlineStr">
        <is>
          <t>Scaffolding Contractor D</t>
        </is>
      </c>
      <c r="G9" s="7" t="inlineStr">
        <is>
          <t>SC-CISRS-19</t>
        </is>
      </c>
      <c r="H9" s="42" t="n">
        <v>45672</v>
      </c>
      <c r="I9" s="42" t="n">
        <v>46037</v>
      </c>
      <c r="J9" s="5">
        <f>IF(I9="","",I9-TODAY())</f>
        <v/>
      </c>
      <c r="K9" s="5">
        <f>IF(I9="","",IF(J9&lt;0,"EXPIRED",IF(J9&lt;=Admin!$C$13,"CRITICAL ≤7d",IF(J9&lt;=Admin!$C$12,"WARNING ≤30d","VALID"))))</f>
        <v/>
      </c>
      <c r="M9" s="6">
        <f>IF(I9="","",I9-Admin!$C$12)</f>
        <v/>
      </c>
    </row>
    <row r="10">
      <c r="B10" s="7" t="inlineStr">
        <is>
          <t>EMP-006</t>
        </is>
      </c>
      <c r="C10" s="7" t="inlineStr">
        <is>
          <t>Nabil Othman</t>
        </is>
      </c>
      <c r="D10" s="7" t="inlineStr">
        <is>
          <t>KAZ-1110</t>
        </is>
      </c>
      <c r="E10" s="7" t="inlineStr">
        <is>
          <t>Electrician</t>
        </is>
      </c>
      <c r="F10" s="7" t="inlineStr">
        <is>
          <t>Electrical Subcontractor C</t>
        </is>
      </c>
      <c r="G10" s="7" t="inlineStr">
        <is>
          <t>EL-440</t>
        </is>
      </c>
      <c r="H10" s="42" t="n">
        <v>45839</v>
      </c>
      <c r="I10" s="42" t="n">
        <v>46569</v>
      </c>
      <c r="J10" s="5">
        <f>IF(I10="","",I10-TODAY())</f>
        <v/>
      </c>
      <c r="K10" s="5">
        <f>IF(I10="","",IF(J10&lt;0,"EXPIRED",IF(J10&lt;=Admin!$C$13,"CRITICAL ≤7d",IF(J10&lt;=Admin!$C$12,"WARNING ≤30d","VALID"))))</f>
        <v/>
      </c>
      <c r="M10" s="6">
        <f>IF(I10="","",I10-Admin!$C$12)</f>
        <v/>
      </c>
    </row>
    <row r="11">
      <c r="B11" s="7" t="inlineStr">
        <is>
          <t>EMP-007</t>
        </is>
      </c>
      <c r="C11" s="7" t="inlineStr">
        <is>
          <t>Hassan Ibrahim</t>
        </is>
      </c>
      <c r="D11" s="7" t="inlineStr">
        <is>
          <t>KAZ-0991</t>
        </is>
      </c>
      <c r="E11" s="7" t="inlineStr">
        <is>
          <t>EHS Officer</t>
        </is>
      </c>
      <c r="F11" s="7" t="inlineStr">
        <is>
          <t>Team Seisms</t>
        </is>
      </c>
      <c r="G11" s="7" t="inlineStr">
        <is>
          <t>NEBOSH-GC-882</t>
        </is>
      </c>
      <c r="H11" s="42" t="n">
        <v>45413</v>
      </c>
      <c r="I11" s="42" t="n">
        <v>47239</v>
      </c>
      <c r="J11" s="5">
        <f>IF(I11="","",I11-TODAY())</f>
        <v/>
      </c>
      <c r="K11" s="5">
        <f>IF(I11="","",IF(J11&lt;0,"EXPIRED",IF(J11&lt;=Admin!$C$13,"CRITICAL ≤7d",IF(J11&lt;=Admin!$C$12,"WARNING ≤30d","VALID"))))</f>
        <v/>
      </c>
      <c r="M11" s="6">
        <f>IF(I11="","",I11-Admin!$C$12)</f>
        <v/>
      </c>
    </row>
    <row r="12">
      <c r="B12" s="7" t="inlineStr">
        <is>
          <t>EMP-008</t>
        </is>
      </c>
      <c r="C12" s="7" t="inlineStr">
        <is>
          <t>Omar Farouk</t>
        </is>
      </c>
      <c r="D12" s="7" t="inlineStr">
        <is>
          <t>KAZ-0772</t>
        </is>
      </c>
      <c r="E12" s="7" t="inlineStr">
        <is>
          <t>Authorized Gas Tester</t>
        </is>
      </c>
      <c r="F12" s="7" t="inlineStr">
        <is>
          <t>Team Al-Mayal</t>
        </is>
      </c>
      <c r="G12" s="7" t="inlineStr">
        <is>
          <t>AGT-12</t>
        </is>
      </c>
      <c r="H12" s="42" t="n">
        <v>45931</v>
      </c>
      <c r="I12" s="42" t="n">
        <v>46113</v>
      </c>
      <c r="J12" s="5">
        <f>IF(I12="","",I12-TODAY())</f>
        <v/>
      </c>
      <c r="K12" s="5">
        <f>IF(I12="","",IF(J12&lt;0,"EXPIRED",IF(J12&lt;=Admin!$C$13,"CRITICAL ≤7d",IF(J12&lt;=Admin!$C$12,"WARNING ≤30d","VALID"))))</f>
        <v/>
      </c>
      <c r="M12" s="6">
        <f>IF(I12="","",I12-Admin!$C$12)</f>
        <v/>
      </c>
    </row>
    <row r="13">
      <c r="B13" s="7" t="n"/>
      <c r="C13" s="7" t="n"/>
      <c r="D13" s="7" t="n"/>
      <c r="E13" s="7" t="n"/>
      <c r="F13" s="7" t="n"/>
      <c r="G13" s="7" t="n"/>
      <c r="H13" s="42" t="n"/>
      <c r="I13" s="42" t="n"/>
      <c r="J13" s="5">
        <f>IF(I13="","",I13-TODAY())</f>
        <v/>
      </c>
      <c r="K13" s="5">
        <f>IF(I13="","",IF(J13&lt;0,"EXPIRED",IF(J13&lt;=Admin!$C$13,"CRITICAL ≤7d",IF(J13&lt;=Admin!$C$12,"WARNING ≤30d","VALID"))))</f>
        <v/>
      </c>
      <c r="L13" s="7" t="n"/>
      <c r="M13" s="6">
        <f>IF(I13="","",I13-Admin!$C$12)</f>
        <v/>
      </c>
      <c r="N13" s="7" t="n"/>
    </row>
    <row r="14">
      <c r="B14" s="7" t="n"/>
      <c r="C14" s="7" t="n"/>
      <c r="D14" s="7" t="n"/>
      <c r="E14" s="7" t="n"/>
      <c r="F14" s="7" t="n"/>
      <c r="G14" s="7" t="n"/>
      <c r="H14" s="42" t="n"/>
      <c r="I14" s="42" t="n"/>
      <c r="J14" s="5">
        <f>IF(I14="","",I14-TODAY())</f>
        <v/>
      </c>
      <c r="K14" s="5">
        <f>IF(I14="","",IF(J14&lt;0,"EXPIRED",IF(J14&lt;=Admin!$C$13,"CRITICAL ≤7d",IF(J14&lt;=Admin!$C$12,"WARNING ≤30d","VALID"))))</f>
        <v/>
      </c>
      <c r="L14" s="7" t="n"/>
      <c r="M14" s="6">
        <f>IF(I14="","",I14-Admin!$C$12)</f>
        <v/>
      </c>
      <c r="N14" s="7" t="n"/>
    </row>
    <row r="15">
      <c r="B15" s="7" t="n"/>
      <c r="C15" s="7" t="n"/>
      <c r="D15" s="7" t="n"/>
      <c r="E15" s="7" t="n"/>
      <c r="F15" s="7" t="n"/>
      <c r="G15" s="7" t="n"/>
      <c r="H15" s="42" t="n"/>
      <c r="I15" s="42" t="n"/>
      <c r="J15" s="5">
        <f>IF(I15="","",I15-TODAY())</f>
        <v/>
      </c>
      <c r="K15" s="5">
        <f>IF(I15="","",IF(J15&lt;0,"EXPIRED",IF(J15&lt;=Admin!$C$13,"CRITICAL ≤7d",IF(J15&lt;=Admin!$C$12,"WARNING ≤30d","VALID"))))</f>
        <v/>
      </c>
      <c r="L15" s="7" t="n"/>
      <c r="M15" s="6">
        <f>IF(I15="","",I15-Admin!$C$12)</f>
        <v/>
      </c>
      <c r="N15" s="7" t="n"/>
    </row>
    <row r="16">
      <c r="B16" s="7" t="n"/>
      <c r="C16" s="7" t="n"/>
      <c r="D16" s="7" t="n"/>
      <c r="E16" s="7" t="n"/>
      <c r="F16" s="7" t="n"/>
      <c r="G16" s="7" t="n"/>
      <c r="H16" s="42" t="n"/>
      <c r="I16" s="42" t="n"/>
      <c r="J16" s="5">
        <f>IF(I16="","",I16-TODAY())</f>
        <v/>
      </c>
      <c r="K16" s="5">
        <f>IF(I16="","",IF(J16&lt;0,"EXPIRED",IF(J16&lt;=Admin!$C$13,"CRITICAL ≤7d",IF(J16&lt;=Admin!$C$12,"WARNING ≤30d","VALID"))))</f>
        <v/>
      </c>
      <c r="L16" s="7" t="n"/>
      <c r="M16" s="6">
        <f>IF(I16="","",I16-Admin!$C$12)</f>
        <v/>
      </c>
      <c r="N16" s="7" t="n"/>
    </row>
    <row r="17">
      <c r="B17" s="7" t="n"/>
      <c r="C17" s="7" t="n"/>
      <c r="D17" s="7" t="n"/>
      <c r="E17" s="7" t="n"/>
      <c r="F17" s="7" t="n"/>
      <c r="G17" s="7" t="n"/>
      <c r="H17" s="42" t="n"/>
      <c r="I17" s="42" t="n"/>
      <c r="J17" s="5">
        <f>IF(I17="","",I17-TODAY())</f>
        <v/>
      </c>
      <c r="K17" s="5">
        <f>IF(I17="","",IF(J17&lt;0,"EXPIRED",IF(J17&lt;=Admin!$C$13,"CRITICAL ≤7d",IF(J17&lt;=Admin!$C$12,"WARNING ≤30d","VALID"))))</f>
        <v/>
      </c>
      <c r="L17" s="7" t="n"/>
      <c r="M17" s="6">
        <f>IF(I17="","",I17-Admin!$C$12)</f>
        <v/>
      </c>
      <c r="N17" s="7" t="n"/>
    </row>
    <row r="18">
      <c r="B18" s="7" t="n"/>
      <c r="C18" s="7" t="n"/>
      <c r="D18" s="7" t="n"/>
      <c r="E18" s="7" t="n"/>
      <c r="F18" s="7" t="n"/>
      <c r="G18" s="7" t="n"/>
      <c r="H18" s="42" t="n"/>
      <c r="I18" s="42" t="n"/>
      <c r="J18" s="5">
        <f>IF(I18="","",I18-TODAY())</f>
        <v/>
      </c>
      <c r="K18" s="5">
        <f>IF(I18="","",IF(J18&lt;0,"EXPIRED",IF(J18&lt;=Admin!$C$13,"CRITICAL ≤7d",IF(J18&lt;=Admin!$C$12,"WARNING ≤30d","VALID"))))</f>
        <v/>
      </c>
      <c r="L18" s="7" t="n"/>
      <c r="M18" s="6">
        <f>IF(I18="","",I18-Admin!$C$12)</f>
        <v/>
      </c>
      <c r="N18" s="7" t="n"/>
    </row>
    <row r="19">
      <c r="B19" s="7" t="n"/>
      <c r="C19" s="7" t="n"/>
      <c r="D19" s="7" t="n"/>
      <c r="E19" s="7" t="n"/>
      <c r="F19" s="7" t="n"/>
      <c r="G19" s="7" t="n"/>
      <c r="H19" s="42" t="n"/>
      <c r="I19" s="42" t="n"/>
      <c r="J19" s="5">
        <f>IF(I19="","",I19-TODAY())</f>
        <v/>
      </c>
      <c r="K19" s="5">
        <f>IF(I19="","",IF(J19&lt;0,"EXPIRED",IF(J19&lt;=Admin!$C$13,"CRITICAL ≤7d",IF(J19&lt;=Admin!$C$12,"WARNING ≤30d","VALID"))))</f>
        <v/>
      </c>
      <c r="L19" s="7" t="n"/>
      <c r="M19" s="6">
        <f>IF(I19="","",I19-Admin!$C$12)</f>
        <v/>
      </c>
      <c r="N19" s="7" t="n"/>
    </row>
    <row r="20">
      <c r="B20" s="7" t="n"/>
      <c r="C20" s="7" t="n"/>
      <c r="D20" s="7" t="n"/>
      <c r="E20" s="7" t="n"/>
      <c r="F20" s="7" t="n"/>
      <c r="G20" s="7" t="n"/>
      <c r="H20" s="42" t="n"/>
      <c r="I20" s="42" t="n"/>
      <c r="J20" s="5">
        <f>IF(I20="","",I20-TODAY())</f>
        <v/>
      </c>
      <c r="K20" s="5">
        <f>IF(I20="","",IF(J20&lt;0,"EXPIRED",IF(J20&lt;=Admin!$C$13,"CRITICAL ≤7d",IF(J20&lt;=Admin!$C$12,"WARNING ≤30d","VALID"))))</f>
        <v/>
      </c>
      <c r="L20" s="7" t="n"/>
      <c r="M20" s="6">
        <f>IF(I20="","",I20-Admin!$C$12)</f>
        <v/>
      </c>
      <c r="N20" s="7" t="n"/>
    </row>
    <row r="21">
      <c r="B21" s="7" t="n"/>
      <c r="C21" s="7" t="n"/>
      <c r="D21" s="7" t="n"/>
      <c r="E21" s="7" t="n"/>
      <c r="F21" s="7" t="n"/>
      <c r="G21" s="7" t="n"/>
      <c r="H21" s="42" t="n"/>
      <c r="I21" s="42" t="n"/>
      <c r="J21" s="5">
        <f>IF(I21="","",I21-TODAY())</f>
        <v/>
      </c>
      <c r="K21" s="5">
        <f>IF(I21="","",IF(J21&lt;0,"EXPIRED",IF(J21&lt;=Admin!$C$13,"CRITICAL ≤7d",IF(J21&lt;=Admin!$C$12,"WARNING ≤30d","VALID"))))</f>
        <v/>
      </c>
      <c r="L21" s="7" t="n"/>
      <c r="M21" s="6">
        <f>IF(I21="","",I21-Admin!$C$12)</f>
        <v/>
      </c>
      <c r="N21" s="7" t="n"/>
    </row>
    <row r="22">
      <c r="B22" s="7" t="n"/>
      <c r="C22" s="7" t="n"/>
      <c r="D22" s="7" t="n"/>
      <c r="E22" s="7" t="n"/>
      <c r="F22" s="7" t="n"/>
      <c r="G22" s="7" t="n"/>
      <c r="H22" s="42" t="n"/>
      <c r="I22" s="42" t="n"/>
      <c r="J22" s="5">
        <f>IF(I22="","",I22-TODAY())</f>
        <v/>
      </c>
      <c r="K22" s="5">
        <f>IF(I22="","",IF(J22&lt;0,"EXPIRED",IF(J22&lt;=Admin!$C$13,"CRITICAL ≤7d",IF(J22&lt;=Admin!$C$12,"WARNING ≤30d","VALID"))))</f>
        <v/>
      </c>
      <c r="L22" s="7" t="n"/>
      <c r="M22" s="6">
        <f>IF(I22="","",I22-Admin!$C$12)</f>
        <v/>
      </c>
      <c r="N22" s="7" t="n"/>
    </row>
    <row r="23">
      <c r="B23" s="7" t="n"/>
      <c r="C23" s="7" t="n"/>
      <c r="D23" s="7" t="n"/>
      <c r="E23" s="7" t="n"/>
      <c r="F23" s="7" t="n"/>
      <c r="G23" s="7" t="n"/>
      <c r="H23" s="42" t="n"/>
      <c r="I23" s="42" t="n"/>
      <c r="J23" s="5">
        <f>IF(I23="","",I23-TODAY())</f>
        <v/>
      </c>
      <c r="K23" s="5">
        <f>IF(I23="","",IF(J23&lt;0,"EXPIRED",IF(J23&lt;=Admin!$C$13,"CRITICAL ≤7d",IF(J23&lt;=Admin!$C$12,"WARNING ≤30d","VALID"))))</f>
        <v/>
      </c>
      <c r="L23" s="7" t="n"/>
      <c r="M23" s="6">
        <f>IF(I23="","",I23-Admin!$C$12)</f>
        <v/>
      </c>
      <c r="N23" s="7" t="n"/>
    </row>
    <row r="24">
      <c r="B24" s="7" t="n"/>
      <c r="C24" s="7" t="n"/>
      <c r="D24" s="7" t="n"/>
      <c r="E24" s="7" t="n"/>
      <c r="F24" s="7" t="n"/>
      <c r="G24" s="7" t="n"/>
      <c r="H24" s="42" t="n"/>
      <c r="I24" s="42" t="n"/>
      <c r="J24" s="5">
        <f>IF(I24="","",I24-TODAY())</f>
        <v/>
      </c>
      <c r="K24" s="5">
        <f>IF(I24="","",IF(J24&lt;0,"EXPIRED",IF(J24&lt;=Admin!$C$13,"CRITICAL ≤7d",IF(J24&lt;=Admin!$C$12,"WARNING ≤30d","VALID"))))</f>
        <v/>
      </c>
      <c r="L24" s="7" t="n"/>
      <c r="M24" s="6">
        <f>IF(I24="","",I24-Admin!$C$12)</f>
        <v/>
      </c>
      <c r="N24" s="7" t="n"/>
    </row>
    <row r="25">
      <c r="B25" s="7" t="n"/>
      <c r="C25" s="7" t="n"/>
      <c r="D25" s="7" t="n"/>
      <c r="E25" s="7" t="n"/>
      <c r="F25" s="7" t="n"/>
      <c r="G25" s="7" t="n"/>
      <c r="H25" s="42" t="n"/>
      <c r="I25" s="42" t="n"/>
      <c r="J25" s="5">
        <f>IF(I25="","",I25-TODAY())</f>
        <v/>
      </c>
      <c r="K25" s="5">
        <f>IF(I25="","",IF(J25&lt;0,"EXPIRED",IF(J25&lt;=Admin!$C$13,"CRITICAL ≤7d",IF(J25&lt;=Admin!$C$12,"WARNING ≤30d","VALID"))))</f>
        <v/>
      </c>
      <c r="L25" s="7" t="n"/>
      <c r="M25" s="6">
        <f>IF(I25="","",I25-Admin!$C$12)</f>
        <v/>
      </c>
      <c r="N25" s="7" t="n"/>
    </row>
    <row r="26">
      <c r="B26" s="7" t="n"/>
      <c r="C26" s="7" t="n"/>
      <c r="D26" s="7" t="n"/>
      <c r="E26" s="7" t="n"/>
      <c r="F26" s="7" t="n"/>
      <c r="G26" s="7" t="n"/>
      <c r="H26" s="42" t="n"/>
      <c r="I26" s="42" t="n"/>
      <c r="J26" s="5">
        <f>IF(I26="","",I26-TODAY())</f>
        <v/>
      </c>
      <c r="K26" s="5">
        <f>IF(I26="","",IF(J26&lt;0,"EXPIRED",IF(J26&lt;=Admin!$C$13,"CRITICAL ≤7d",IF(J26&lt;=Admin!$C$12,"WARNING ≤30d","VALID"))))</f>
        <v/>
      </c>
      <c r="L26" s="7" t="n"/>
      <c r="M26" s="6">
        <f>IF(I26="","",I26-Admin!$C$12)</f>
        <v/>
      </c>
      <c r="N26" s="7" t="n"/>
    </row>
    <row r="27">
      <c r="B27" s="7" t="n"/>
      <c r="C27" s="7" t="n"/>
      <c r="D27" s="7" t="n"/>
      <c r="E27" s="7" t="n"/>
      <c r="F27" s="7" t="n"/>
      <c r="G27" s="7" t="n"/>
      <c r="H27" s="42" t="n"/>
      <c r="I27" s="42" t="n"/>
      <c r="J27" s="5">
        <f>IF(I27="","",I27-TODAY())</f>
        <v/>
      </c>
      <c r="K27" s="5">
        <f>IF(I27="","",IF(J27&lt;0,"EXPIRED",IF(J27&lt;=Admin!$C$13,"CRITICAL ≤7d",IF(J27&lt;=Admin!$C$12,"WARNING ≤30d","VALID"))))</f>
        <v/>
      </c>
      <c r="L27" s="7" t="n"/>
      <c r="M27" s="6">
        <f>IF(I27="","",I27-Admin!$C$12)</f>
        <v/>
      </c>
      <c r="N27" s="7" t="n"/>
    </row>
    <row r="28">
      <c r="B28" s="7" t="n"/>
      <c r="C28" s="7" t="n"/>
      <c r="D28" s="7" t="n"/>
      <c r="E28" s="7" t="n"/>
      <c r="F28" s="7" t="n"/>
      <c r="G28" s="7" t="n"/>
      <c r="H28" s="42" t="n"/>
      <c r="I28" s="42" t="n"/>
      <c r="J28" s="5">
        <f>IF(I28="","",I28-TODAY())</f>
        <v/>
      </c>
      <c r="K28" s="5">
        <f>IF(I28="","",IF(J28&lt;0,"EXPIRED",IF(J28&lt;=Admin!$C$13,"CRITICAL ≤7d",IF(J28&lt;=Admin!$C$12,"WARNING ≤30d","VALID"))))</f>
        <v/>
      </c>
      <c r="L28" s="7" t="n"/>
      <c r="M28" s="6">
        <f>IF(I28="","",I28-Admin!$C$12)</f>
        <v/>
      </c>
      <c r="N28" s="7" t="n"/>
    </row>
    <row r="29">
      <c r="B29" s="7" t="n"/>
      <c r="C29" s="7" t="n"/>
      <c r="D29" s="7" t="n"/>
      <c r="E29" s="7" t="n"/>
      <c r="F29" s="7" t="n"/>
      <c r="G29" s="7" t="n"/>
      <c r="H29" s="42" t="n"/>
      <c r="I29" s="42" t="n"/>
      <c r="J29" s="5">
        <f>IF(I29="","",I29-TODAY())</f>
        <v/>
      </c>
      <c r="K29" s="5">
        <f>IF(I29="","",IF(J29&lt;0,"EXPIRED",IF(J29&lt;=Admin!$C$13,"CRITICAL ≤7d",IF(J29&lt;=Admin!$C$12,"WARNING ≤30d","VALID"))))</f>
        <v/>
      </c>
      <c r="L29" s="7" t="n"/>
      <c r="M29" s="6">
        <f>IF(I29="","",I29-Admin!$C$12)</f>
        <v/>
      </c>
      <c r="N29" s="7" t="n"/>
    </row>
    <row r="30">
      <c r="B30" s="7" t="n"/>
      <c r="C30" s="7" t="n"/>
      <c r="D30" s="7" t="n"/>
      <c r="E30" s="7" t="n"/>
      <c r="F30" s="7" t="n"/>
      <c r="G30" s="7" t="n"/>
      <c r="H30" s="42" t="n"/>
      <c r="I30" s="42" t="n"/>
      <c r="J30" s="5">
        <f>IF(I30="","",I30-TODAY())</f>
        <v/>
      </c>
      <c r="K30" s="5">
        <f>IF(I30="","",IF(J30&lt;0,"EXPIRED",IF(J30&lt;=Admin!$C$13,"CRITICAL ≤7d",IF(J30&lt;=Admin!$C$12,"WARNING ≤30d","VALID"))))</f>
        <v/>
      </c>
      <c r="L30" s="7" t="n"/>
      <c r="M30" s="6">
        <f>IF(I30="","",I30-Admin!$C$12)</f>
        <v/>
      </c>
      <c r="N30" s="7" t="n"/>
    </row>
    <row r="31">
      <c r="B31" s="7" t="n"/>
      <c r="C31" s="7" t="n"/>
      <c r="D31" s="7" t="n"/>
      <c r="E31" s="7" t="n"/>
      <c r="F31" s="7" t="n"/>
      <c r="G31" s="7" t="n"/>
      <c r="H31" s="42" t="n"/>
      <c r="I31" s="42" t="n"/>
      <c r="J31" s="5">
        <f>IF(I31="","",I31-TODAY())</f>
        <v/>
      </c>
      <c r="K31" s="5">
        <f>IF(I31="","",IF(J31&lt;0,"EXPIRED",IF(J31&lt;=Admin!$C$13,"CRITICAL ≤7d",IF(J31&lt;=Admin!$C$12,"WARNING ≤30d","VALID"))))</f>
        <v/>
      </c>
      <c r="L31" s="7" t="n"/>
      <c r="M31" s="6">
        <f>IF(I31="","",I31-Admin!$C$12)</f>
        <v/>
      </c>
      <c r="N31" s="7" t="n"/>
    </row>
    <row r="32">
      <c r="B32" s="7" t="n"/>
      <c r="C32" s="7" t="n"/>
      <c r="D32" s="7" t="n"/>
      <c r="E32" s="7" t="n"/>
      <c r="F32" s="7" t="n"/>
      <c r="G32" s="7" t="n"/>
      <c r="H32" s="42" t="n"/>
      <c r="I32" s="42" t="n"/>
      <c r="J32" s="5">
        <f>IF(I32="","",I32-TODAY())</f>
        <v/>
      </c>
      <c r="K32" s="5">
        <f>IF(I32="","",IF(J32&lt;0,"EXPIRED",IF(J32&lt;=Admin!$C$13,"CRITICAL ≤7d",IF(J32&lt;=Admin!$C$12,"WARNING ≤30d","VALID"))))</f>
        <v/>
      </c>
      <c r="L32" s="7" t="n"/>
      <c r="M32" s="6">
        <f>IF(I32="","",I32-Admin!$C$12)</f>
        <v/>
      </c>
      <c r="N32" s="7" t="n"/>
    </row>
    <row r="33">
      <c r="B33" s="7" t="n"/>
      <c r="C33" s="7" t="n"/>
      <c r="D33" s="7" t="n"/>
      <c r="E33" s="7" t="n"/>
      <c r="F33" s="7" t="n"/>
      <c r="G33" s="7" t="n"/>
      <c r="H33" s="42" t="n"/>
      <c r="I33" s="42" t="n"/>
      <c r="J33" s="5">
        <f>IF(I33="","",I33-TODAY())</f>
        <v/>
      </c>
      <c r="K33" s="5">
        <f>IF(I33="","",IF(J33&lt;0,"EXPIRED",IF(J33&lt;=Admin!$C$13,"CRITICAL ≤7d",IF(J33&lt;=Admin!$C$12,"WARNING ≤30d","VALID"))))</f>
        <v/>
      </c>
      <c r="L33" s="7" t="n"/>
      <c r="M33" s="6">
        <f>IF(I33="","",I33-Admin!$C$12)</f>
        <v/>
      </c>
      <c r="N33" s="7" t="n"/>
    </row>
    <row r="34">
      <c r="B34" s="7" t="n"/>
      <c r="C34" s="7" t="n"/>
      <c r="D34" s="7" t="n"/>
      <c r="E34" s="7" t="n"/>
      <c r="F34" s="7" t="n"/>
      <c r="G34" s="7" t="n"/>
      <c r="H34" s="42" t="n"/>
      <c r="I34" s="42" t="n"/>
      <c r="J34" s="5">
        <f>IF(I34="","",I34-TODAY())</f>
        <v/>
      </c>
      <c r="K34" s="5">
        <f>IF(I34="","",IF(J34&lt;0,"EXPIRED",IF(J34&lt;=Admin!$C$13,"CRITICAL ≤7d",IF(J34&lt;=Admin!$C$12,"WARNING ≤30d","VALID"))))</f>
        <v/>
      </c>
      <c r="L34" s="7" t="n"/>
      <c r="M34" s="6">
        <f>IF(I34="","",I34-Admin!$C$12)</f>
        <v/>
      </c>
      <c r="N34" s="7" t="n"/>
    </row>
    <row r="35">
      <c r="B35" s="7" t="n"/>
      <c r="C35" s="7" t="n"/>
      <c r="D35" s="7" t="n"/>
      <c r="E35" s="7" t="n"/>
      <c r="F35" s="7" t="n"/>
      <c r="G35" s="7" t="n"/>
      <c r="H35" s="42" t="n"/>
      <c r="I35" s="42" t="n"/>
      <c r="J35" s="5">
        <f>IF(I35="","",I35-TODAY())</f>
        <v/>
      </c>
      <c r="K35" s="5">
        <f>IF(I35="","",IF(J35&lt;0,"EXPIRED",IF(J35&lt;=Admin!$C$13,"CRITICAL ≤7d",IF(J35&lt;=Admin!$C$12,"WARNING ≤30d","VALID"))))</f>
        <v/>
      </c>
      <c r="L35" s="7" t="n"/>
      <c r="M35" s="6">
        <f>IF(I35="","",I35-Admin!$C$12)</f>
        <v/>
      </c>
      <c r="N35" s="7" t="n"/>
    </row>
    <row r="36">
      <c r="B36" s="7" t="n"/>
      <c r="C36" s="7" t="n"/>
      <c r="D36" s="7" t="n"/>
      <c r="E36" s="7" t="n"/>
      <c r="F36" s="7" t="n"/>
      <c r="G36" s="7" t="n"/>
      <c r="H36" s="42" t="n"/>
      <c r="I36" s="42" t="n"/>
      <c r="J36" s="5">
        <f>IF(I36="","",I36-TODAY())</f>
        <v/>
      </c>
      <c r="K36" s="5">
        <f>IF(I36="","",IF(J36&lt;0,"EXPIRED",IF(J36&lt;=Admin!$C$13,"CRITICAL ≤7d",IF(J36&lt;=Admin!$C$12,"WARNING ≤30d","VALID"))))</f>
        <v/>
      </c>
      <c r="L36" s="7" t="n"/>
      <c r="M36" s="6">
        <f>IF(I36="","",I36-Admin!$C$12)</f>
        <v/>
      </c>
      <c r="N36" s="7" t="n"/>
    </row>
    <row r="37">
      <c r="B37" s="7" t="n"/>
      <c r="C37" s="7" t="n"/>
      <c r="D37" s="7" t="n"/>
      <c r="E37" s="7" t="n"/>
      <c r="F37" s="7" t="n"/>
      <c r="G37" s="7" t="n"/>
      <c r="H37" s="42" t="n"/>
      <c r="I37" s="42" t="n"/>
      <c r="J37" s="5">
        <f>IF(I37="","",I37-TODAY())</f>
        <v/>
      </c>
      <c r="K37" s="5">
        <f>IF(I37="","",IF(J37&lt;0,"EXPIRED",IF(J37&lt;=Admin!$C$13,"CRITICAL ≤7d",IF(J37&lt;=Admin!$C$12,"WARNING ≤30d","VALID"))))</f>
        <v/>
      </c>
      <c r="L37" s="7" t="n"/>
      <c r="M37" s="6">
        <f>IF(I37="","",I37-Admin!$C$12)</f>
        <v/>
      </c>
      <c r="N37" s="7" t="n"/>
    </row>
    <row r="38">
      <c r="B38" s="7" t="n"/>
      <c r="C38" s="7" t="n"/>
      <c r="D38" s="7" t="n"/>
      <c r="E38" s="7" t="n"/>
      <c r="F38" s="7" t="n"/>
      <c r="G38" s="7" t="n"/>
      <c r="H38" s="42" t="n"/>
      <c r="I38" s="42" t="n"/>
      <c r="J38" s="5">
        <f>IF(I38="","",I38-TODAY())</f>
        <v/>
      </c>
      <c r="K38" s="5">
        <f>IF(I38="","",IF(J38&lt;0,"EXPIRED",IF(J38&lt;=Admin!$C$13,"CRITICAL ≤7d",IF(J38&lt;=Admin!$C$12,"WARNING ≤30d","VALID"))))</f>
        <v/>
      </c>
      <c r="L38" s="7" t="n"/>
      <c r="M38" s="6">
        <f>IF(I38="","",I38-Admin!$C$12)</f>
        <v/>
      </c>
      <c r="N38" s="7" t="n"/>
    </row>
    <row r="39">
      <c r="B39" s="7" t="n"/>
      <c r="C39" s="7" t="n"/>
      <c r="D39" s="7" t="n"/>
      <c r="E39" s="7" t="n"/>
      <c r="F39" s="7" t="n"/>
      <c r="G39" s="7" t="n"/>
      <c r="H39" s="42" t="n"/>
      <c r="I39" s="42" t="n"/>
      <c r="J39" s="5">
        <f>IF(I39="","",I39-TODAY())</f>
        <v/>
      </c>
      <c r="K39" s="5">
        <f>IF(I39="","",IF(J39&lt;0,"EXPIRED",IF(J39&lt;=Admin!$C$13,"CRITICAL ≤7d",IF(J39&lt;=Admin!$C$12,"WARNING ≤30d","VALID"))))</f>
        <v/>
      </c>
      <c r="L39" s="7" t="n"/>
      <c r="M39" s="6">
        <f>IF(I39="","",I39-Admin!$C$12)</f>
        <v/>
      </c>
      <c r="N39" s="7" t="n"/>
    </row>
    <row r="40">
      <c r="B40" s="7" t="n"/>
      <c r="C40" s="7" t="n"/>
      <c r="D40" s="7" t="n"/>
      <c r="E40" s="7" t="n"/>
      <c r="F40" s="7" t="n"/>
      <c r="G40" s="7" t="n"/>
      <c r="H40" s="42" t="n"/>
      <c r="I40" s="42" t="n"/>
      <c r="J40" s="5">
        <f>IF(I40="","",I40-TODAY())</f>
        <v/>
      </c>
      <c r="K40" s="5">
        <f>IF(I40="","",IF(J40&lt;0,"EXPIRED",IF(J40&lt;=Admin!$C$13,"CRITICAL ≤7d",IF(J40&lt;=Admin!$C$12,"WARNING ≤30d","VALID"))))</f>
        <v/>
      </c>
      <c r="L40" s="7" t="n"/>
      <c r="M40" s="6">
        <f>IF(I40="","",I40-Admin!$C$12)</f>
        <v/>
      </c>
      <c r="N40" s="7" t="n"/>
    </row>
    <row r="41">
      <c r="B41" s="7" t="n"/>
      <c r="C41" s="7" t="n"/>
      <c r="D41" s="7" t="n"/>
      <c r="E41" s="7" t="n"/>
      <c r="F41" s="7" t="n"/>
      <c r="G41" s="7" t="n"/>
      <c r="H41" s="42" t="n"/>
      <c r="I41" s="42" t="n"/>
      <c r="J41" s="5">
        <f>IF(I41="","",I41-TODAY())</f>
        <v/>
      </c>
      <c r="K41" s="5">
        <f>IF(I41="","",IF(J41&lt;0,"EXPIRED",IF(J41&lt;=Admin!$C$13,"CRITICAL ≤7d",IF(J41&lt;=Admin!$C$12,"WARNING ≤30d","VALID"))))</f>
        <v/>
      </c>
      <c r="L41" s="7" t="n"/>
      <c r="M41" s="6">
        <f>IF(I41="","",I41-Admin!$C$12)</f>
        <v/>
      </c>
      <c r="N41" s="7" t="n"/>
    </row>
    <row r="42">
      <c r="B42" s="7" t="n"/>
      <c r="C42" s="7" t="n"/>
      <c r="D42" s="7" t="n"/>
      <c r="E42" s="7" t="n"/>
      <c r="F42" s="7" t="n"/>
      <c r="G42" s="7" t="n"/>
      <c r="H42" s="42" t="n"/>
      <c r="I42" s="42" t="n"/>
      <c r="J42" s="5">
        <f>IF(I42="","",I42-TODAY())</f>
        <v/>
      </c>
      <c r="K42" s="5">
        <f>IF(I42="","",IF(J42&lt;0,"EXPIRED",IF(J42&lt;=Admin!$C$13,"CRITICAL ≤7d",IF(J42&lt;=Admin!$C$12,"WARNING ≤30d","VALID"))))</f>
        <v/>
      </c>
      <c r="L42" s="7" t="n"/>
      <c r="M42" s="6">
        <f>IF(I42="","",I42-Admin!$C$12)</f>
        <v/>
      </c>
      <c r="N42" s="7" t="n"/>
    </row>
    <row r="43">
      <c r="B43" s="7" t="n"/>
      <c r="C43" s="7" t="n"/>
      <c r="D43" s="7" t="n"/>
      <c r="E43" s="7" t="n"/>
      <c r="F43" s="7" t="n"/>
      <c r="G43" s="7" t="n"/>
      <c r="H43" s="42" t="n"/>
      <c r="I43" s="42" t="n"/>
      <c r="J43" s="5">
        <f>IF(I43="","",I43-TODAY())</f>
        <v/>
      </c>
      <c r="K43" s="5">
        <f>IF(I43="","",IF(J43&lt;0,"EXPIRED",IF(J43&lt;=Admin!$C$13,"CRITICAL ≤7d",IF(J43&lt;=Admin!$C$12,"WARNING ≤30d","VALID"))))</f>
        <v/>
      </c>
      <c r="L43" s="7" t="n"/>
      <c r="M43" s="6">
        <f>IF(I43="","",I43-Admin!$C$12)</f>
        <v/>
      </c>
      <c r="N43" s="7" t="n"/>
    </row>
    <row r="44">
      <c r="B44" s="7" t="n"/>
      <c r="C44" s="7" t="n"/>
      <c r="D44" s="7" t="n"/>
      <c r="E44" s="7" t="n"/>
      <c r="F44" s="7" t="n"/>
      <c r="G44" s="7" t="n"/>
      <c r="H44" s="42" t="n"/>
      <c r="I44" s="42" t="n"/>
      <c r="J44" s="5">
        <f>IF(I44="","",I44-TODAY())</f>
        <v/>
      </c>
      <c r="K44" s="5">
        <f>IF(I44="","",IF(J44&lt;0,"EXPIRED",IF(J44&lt;=Admin!$C$13,"CRITICAL ≤7d",IF(J44&lt;=Admin!$C$12,"WARNING ≤30d","VALID"))))</f>
        <v/>
      </c>
      <c r="L44" s="7" t="n"/>
      <c r="M44" s="6">
        <f>IF(I44="","",I44-Admin!$C$12)</f>
        <v/>
      </c>
      <c r="N44" s="7" t="n"/>
    </row>
    <row r="45">
      <c r="B45" s="7" t="n"/>
      <c r="C45" s="7" t="n"/>
      <c r="D45" s="7" t="n"/>
      <c r="E45" s="7" t="n"/>
      <c r="F45" s="7" t="n"/>
      <c r="G45" s="7" t="n"/>
      <c r="H45" s="42" t="n"/>
      <c r="I45" s="42" t="n"/>
      <c r="J45" s="5">
        <f>IF(I45="","",I45-TODAY())</f>
        <v/>
      </c>
      <c r="K45" s="5">
        <f>IF(I45="","",IF(J45&lt;0,"EXPIRED",IF(J45&lt;=Admin!$C$13,"CRITICAL ≤7d",IF(J45&lt;=Admin!$C$12,"WARNING ≤30d","VALID"))))</f>
        <v/>
      </c>
      <c r="L45" s="7" t="n"/>
      <c r="M45" s="6">
        <f>IF(I45="","",I45-Admin!$C$12)</f>
        <v/>
      </c>
      <c r="N45" s="7" t="n"/>
    </row>
    <row r="46">
      <c r="B46" s="7" t="n"/>
      <c r="C46" s="7" t="n"/>
      <c r="D46" s="7" t="n"/>
      <c r="E46" s="7" t="n"/>
      <c r="F46" s="7" t="n"/>
      <c r="G46" s="7" t="n"/>
      <c r="H46" s="42" t="n"/>
      <c r="I46" s="42" t="n"/>
      <c r="J46" s="5">
        <f>IF(I46="","",I46-TODAY())</f>
        <v/>
      </c>
      <c r="K46" s="5">
        <f>IF(I46="","",IF(J46&lt;0,"EXPIRED",IF(J46&lt;=Admin!$C$13,"CRITICAL ≤7d",IF(J46&lt;=Admin!$C$12,"WARNING ≤30d","VALID"))))</f>
        <v/>
      </c>
      <c r="L46" s="7" t="n"/>
      <c r="M46" s="6">
        <f>IF(I46="","",I46-Admin!$C$12)</f>
        <v/>
      </c>
      <c r="N46" s="7" t="n"/>
    </row>
    <row r="47">
      <c r="B47" s="7" t="n"/>
      <c r="C47" s="7" t="n"/>
      <c r="D47" s="7" t="n"/>
      <c r="E47" s="7" t="n"/>
      <c r="F47" s="7" t="n"/>
      <c r="G47" s="7" t="n"/>
      <c r="H47" s="42" t="n"/>
      <c r="I47" s="42" t="n"/>
      <c r="J47" s="5">
        <f>IF(I47="","",I47-TODAY())</f>
        <v/>
      </c>
      <c r="K47" s="5">
        <f>IF(I47="","",IF(J47&lt;0,"EXPIRED",IF(J47&lt;=Admin!$C$13,"CRITICAL ≤7d",IF(J47&lt;=Admin!$C$12,"WARNING ≤30d","VALID"))))</f>
        <v/>
      </c>
      <c r="L47" s="7" t="n"/>
      <c r="M47" s="6">
        <f>IF(I47="","",I47-Admin!$C$12)</f>
        <v/>
      </c>
      <c r="N47" s="7" t="n"/>
    </row>
    <row r="48">
      <c r="B48" s="7" t="n"/>
      <c r="C48" s="7" t="n"/>
      <c r="D48" s="7" t="n"/>
      <c r="E48" s="7" t="n"/>
      <c r="F48" s="7" t="n"/>
      <c r="G48" s="7" t="n"/>
      <c r="H48" s="42" t="n"/>
      <c r="I48" s="42" t="n"/>
      <c r="J48" s="5">
        <f>IF(I48="","",I48-TODAY())</f>
        <v/>
      </c>
      <c r="K48" s="5">
        <f>IF(I48="","",IF(J48&lt;0,"EXPIRED",IF(J48&lt;=Admin!$C$13,"CRITICAL ≤7d",IF(J48&lt;=Admin!$C$12,"WARNING ≤30d","VALID"))))</f>
        <v/>
      </c>
      <c r="L48" s="7" t="n"/>
      <c r="M48" s="6">
        <f>IF(I48="","",I48-Admin!$C$12)</f>
        <v/>
      </c>
      <c r="N48" s="7" t="n"/>
    </row>
    <row r="49">
      <c r="B49" s="7" t="n"/>
      <c r="C49" s="7" t="n"/>
      <c r="D49" s="7" t="n"/>
      <c r="E49" s="7" t="n"/>
      <c r="F49" s="7" t="n"/>
      <c r="G49" s="7" t="n"/>
      <c r="H49" s="42" t="n"/>
      <c r="I49" s="42" t="n"/>
      <c r="J49" s="5">
        <f>IF(I49="","",I49-TODAY())</f>
        <v/>
      </c>
      <c r="K49" s="5">
        <f>IF(I49="","",IF(J49&lt;0,"EXPIRED",IF(J49&lt;=Admin!$C$13,"CRITICAL ≤7d",IF(J49&lt;=Admin!$C$12,"WARNING ≤30d","VALID"))))</f>
        <v/>
      </c>
      <c r="L49" s="7" t="n"/>
      <c r="M49" s="6">
        <f>IF(I49="","",I49-Admin!$C$12)</f>
        <v/>
      </c>
      <c r="N49" s="7" t="n"/>
    </row>
    <row r="50">
      <c r="B50" s="7" t="n"/>
      <c r="C50" s="7" t="n"/>
      <c r="D50" s="7" t="n"/>
      <c r="E50" s="7" t="n"/>
      <c r="F50" s="7" t="n"/>
      <c r="G50" s="7" t="n"/>
      <c r="H50" s="42" t="n"/>
      <c r="I50" s="42" t="n"/>
      <c r="J50" s="5">
        <f>IF(I50="","",I50-TODAY())</f>
        <v/>
      </c>
      <c r="K50" s="5">
        <f>IF(I50="","",IF(J50&lt;0,"EXPIRED",IF(J50&lt;=Admin!$C$13,"CRITICAL ≤7d",IF(J50&lt;=Admin!$C$12,"WARNING ≤30d","VALID"))))</f>
        <v/>
      </c>
      <c r="L50" s="7" t="n"/>
      <c r="M50" s="6">
        <f>IF(I50="","",I50-Admin!$C$12)</f>
        <v/>
      </c>
      <c r="N50" s="7" t="n"/>
    </row>
    <row r="51">
      <c r="B51" s="7" t="n"/>
      <c r="C51" s="7" t="n"/>
      <c r="D51" s="7" t="n"/>
      <c r="E51" s="7" t="n"/>
      <c r="F51" s="7" t="n"/>
      <c r="G51" s="7" t="n"/>
      <c r="H51" s="42" t="n"/>
      <c r="I51" s="42" t="n"/>
      <c r="J51" s="5">
        <f>IF(I51="","",I51-TODAY())</f>
        <v/>
      </c>
      <c r="K51" s="5">
        <f>IF(I51="","",IF(J51&lt;0,"EXPIRED",IF(J51&lt;=Admin!$C$13,"CRITICAL ≤7d",IF(J51&lt;=Admin!$C$12,"WARNING ≤30d","VALID"))))</f>
        <v/>
      </c>
      <c r="L51" s="7" t="n"/>
      <c r="M51" s="6">
        <f>IF(I51="","",I51-Admin!$C$12)</f>
        <v/>
      </c>
      <c r="N51" s="7" t="n"/>
    </row>
    <row r="52">
      <c r="B52" s="7" t="n"/>
      <c r="C52" s="7" t="n"/>
      <c r="D52" s="7" t="n"/>
      <c r="E52" s="7" t="n"/>
      <c r="F52" s="7" t="n"/>
      <c r="G52" s="7" t="n"/>
      <c r="H52" s="42" t="n"/>
      <c r="I52" s="42" t="n"/>
      <c r="J52" s="5">
        <f>IF(I52="","",I52-TODAY())</f>
        <v/>
      </c>
      <c r="K52" s="5">
        <f>IF(I52="","",IF(J52&lt;0,"EXPIRED",IF(J52&lt;=Admin!$C$13,"CRITICAL ≤7d",IF(J52&lt;=Admin!$C$12,"WARNING ≤30d","VALID"))))</f>
        <v/>
      </c>
      <c r="L52" s="7" t="n"/>
      <c r="M52" s="6">
        <f>IF(I52="","",I52-Admin!$C$12)</f>
        <v/>
      </c>
      <c r="N52" s="7" t="n"/>
    </row>
    <row r="53">
      <c r="B53" s="7" t="n"/>
      <c r="C53" s="7" t="n"/>
      <c r="D53" s="7" t="n"/>
      <c r="E53" s="7" t="n"/>
      <c r="F53" s="7" t="n"/>
      <c r="G53" s="7" t="n"/>
      <c r="H53" s="42" t="n"/>
      <c r="I53" s="42" t="n"/>
      <c r="J53" s="5">
        <f>IF(I53="","",I53-TODAY())</f>
        <v/>
      </c>
      <c r="K53" s="5">
        <f>IF(I53="","",IF(J53&lt;0,"EXPIRED",IF(J53&lt;=Admin!$C$13,"CRITICAL ≤7d",IF(J53&lt;=Admin!$C$12,"WARNING ≤30d","VALID"))))</f>
        <v/>
      </c>
      <c r="L53" s="7" t="n"/>
      <c r="M53" s="6">
        <f>IF(I53="","",I53-Admin!$C$12)</f>
        <v/>
      </c>
      <c r="N53" s="7" t="n"/>
    </row>
    <row r="54">
      <c r="B54" s="7" t="n"/>
      <c r="C54" s="7" t="n"/>
      <c r="D54" s="7" t="n"/>
      <c r="E54" s="7" t="n"/>
      <c r="F54" s="7" t="n"/>
      <c r="G54" s="7" t="n"/>
      <c r="H54" s="42" t="n"/>
      <c r="I54" s="42" t="n"/>
      <c r="J54" s="5">
        <f>IF(I54="","",I54-TODAY())</f>
        <v/>
      </c>
      <c r="K54" s="5">
        <f>IF(I54="","",IF(J54&lt;0,"EXPIRED",IF(J54&lt;=Admin!$C$13,"CRITICAL ≤7d",IF(J54&lt;=Admin!$C$12,"WARNING ≤30d","VALID"))))</f>
        <v/>
      </c>
      <c r="L54" s="7" t="n"/>
      <c r="M54" s="6">
        <f>IF(I54="","",I54-Admin!$C$12)</f>
        <v/>
      </c>
      <c r="N54" s="7" t="n"/>
    </row>
    <row r="55">
      <c r="B55" s="7" t="n"/>
      <c r="C55" s="7" t="n"/>
      <c r="D55" s="7" t="n"/>
      <c r="E55" s="7" t="n"/>
      <c r="F55" s="7" t="n"/>
      <c r="G55" s="7" t="n"/>
      <c r="H55" s="42" t="n"/>
      <c r="I55" s="42" t="n"/>
      <c r="J55" s="5">
        <f>IF(I55="","",I55-TODAY())</f>
        <v/>
      </c>
      <c r="K55" s="5">
        <f>IF(I55="","",IF(J55&lt;0,"EXPIRED",IF(J55&lt;=Admin!$C$13,"CRITICAL ≤7d",IF(J55&lt;=Admin!$C$12,"WARNING ≤30d","VALID"))))</f>
        <v/>
      </c>
      <c r="L55" s="7" t="n"/>
      <c r="M55" s="6">
        <f>IF(I55="","",I55-Admin!$C$12)</f>
        <v/>
      </c>
      <c r="N55" s="7" t="n"/>
    </row>
    <row r="56">
      <c r="B56" s="7" t="n"/>
      <c r="C56" s="7" t="n"/>
      <c r="D56" s="7" t="n"/>
      <c r="E56" s="7" t="n"/>
      <c r="F56" s="7" t="n"/>
      <c r="G56" s="7" t="n"/>
      <c r="H56" s="42" t="n"/>
      <c r="I56" s="42" t="n"/>
      <c r="J56" s="5">
        <f>IF(I56="","",I56-TODAY())</f>
        <v/>
      </c>
      <c r="K56" s="5">
        <f>IF(I56="","",IF(J56&lt;0,"EXPIRED",IF(J56&lt;=Admin!$C$13,"CRITICAL ≤7d",IF(J56&lt;=Admin!$C$12,"WARNING ≤30d","VALID"))))</f>
        <v/>
      </c>
      <c r="L56" s="7" t="n"/>
      <c r="M56" s="6">
        <f>IF(I56="","",I56-Admin!$C$12)</f>
        <v/>
      </c>
      <c r="N56" s="7" t="n"/>
    </row>
    <row r="57">
      <c r="B57" s="7" t="n"/>
      <c r="C57" s="7" t="n"/>
      <c r="D57" s="7" t="n"/>
      <c r="E57" s="7" t="n"/>
      <c r="F57" s="7" t="n"/>
      <c r="G57" s="7" t="n"/>
      <c r="H57" s="42" t="n"/>
      <c r="I57" s="42" t="n"/>
      <c r="J57" s="5">
        <f>IF(I57="","",I57-TODAY())</f>
        <v/>
      </c>
      <c r="K57" s="5">
        <f>IF(I57="","",IF(J57&lt;0,"EXPIRED",IF(J57&lt;=Admin!$C$13,"CRITICAL ≤7d",IF(J57&lt;=Admin!$C$12,"WARNING ≤30d","VALID"))))</f>
        <v/>
      </c>
      <c r="L57" s="7" t="n"/>
      <c r="M57" s="6">
        <f>IF(I57="","",I57-Admin!$C$12)</f>
        <v/>
      </c>
      <c r="N57" s="7" t="n"/>
    </row>
    <row r="58">
      <c r="B58" s="7" t="n"/>
      <c r="C58" s="7" t="n"/>
      <c r="D58" s="7" t="n"/>
      <c r="E58" s="7" t="n"/>
      <c r="F58" s="7" t="n"/>
      <c r="G58" s="7" t="n"/>
      <c r="H58" s="42" t="n"/>
      <c r="I58" s="42" t="n"/>
      <c r="J58" s="5">
        <f>IF(I58="","",I58-TODAY())</f>
        <v/>
      </c>
      <c r="K58" s="5">
        <f>IF(I58="","",IF(J58&lt;0,"EXPIRED",IF(J58&lt;=Admin!$C$13,"CRITICAL ≤7d",IF(J58&lt;=Admin!$C$12,"WARNING ≤30d","VALID"))))</f>
        <v/>
      </c>
      <c r="L58" s="7" t="n"/>
      <c r="M58" s="6">
        <f>IF(I58="","",I58-Admin!$C$12)</f>
        <v/>
      </c>
      <c r="N58" s="7" t="n"/>
    </row>
    <row r="59">
      <c r="B59" s="7" t="n"/>
      <c r="C59" s="7" t="n"/>
      <c r="D59" s="7" t="n"/>
      <c r="E59" s="7" t="n"/>
      <c r="F59" s="7" t="n"/>
      <c r="G59" s="7" t="n"/>
      <c r="H59" s="42" t="n"/>
      <c r="I59" s="42" t="n"/>
      <c r="J59" s="5">
        <f>IF(I59="","",I59-TODAY())</f>
        <v/>
      </c>
      <c r="K59" s="5">
        <f>IF(I59="","",IF(J59&lt;0,"EXPIRED",IF(J59&lt;=Admin!$C$13,"CRITICAL ≤7d",IF(J59&lt;=Admin!$C$12,"WARNING ≤30d","VALID"))))</f>
        <v/>
      </c>
      <c r="L59" s="7" t="n"/>
      <c r="M59" s="6">
        <f>IF(I59="","",I59-Admin!$C$12)</f>
        <v/>
      </c>
      <c r="N59" s="7" t="n"/>
    </row>
    <row r="60">
      <c r="B60" s="7" t="n"/>
      <c r="C60" s="7" t="n"/>
      <c r="D60" s="7" t="n"/>
      <c r="E60" s="7" t="n"/>
      <c r="F60" s="7" t="n"/>
      <c r="G60" s="7" t="n"/>
      <c r="H60" s="42" t="n"/>
      <c r="I60" s="42" t="n"/>
      <c r="J60" s="5">
        <f>IF(I60="","",I60-TODAY())</f>
        <v/>
      </c>
      <c r="K60" s="5">
        <f>IF(I60="","",IF(J60&lt;0,"EXPIRED",IF(J60&lt;=Admin!$C$13,"CRITICAL ≤7d",IF(J60&lt;=Admin!$C$12,"WARNING ≤30d","VALID"))))</f>
        <v/>
      </c>
      <c r="L60" s="7" t="n"/>
      <c r="M60" s="6">
        <f>IF(I60="","",I60-Admin!$C$12)</f>
        <v/>
      </c>
      <c r="N60" s="7" t="n"/>
    </row>
    <row r="61">
      <c r="B61" s="7" t="n"/>
      <c r="C61" s="7" t="n"/>
      <c r="D61" s="7" t="n"/>
      <c r="E61" s="7" t="n"/>
      <c r="F61" s="7" t="n"/>
      <c r="G61" s="7" t="n"/>
      <c r="H61" s="42" t="n"/>
      <c r="I61" s="42" t="n"/>
      <c r="J61" s="5">
        <f>IF(I61="","",I61-TODAY())</f>
        <v/>
      </c>
      <c r="K61" s="5">
        <f>IF(I61="","",IF(J61&lt;0,"EXPIRED",IF(J61&lt;=Admin!$C$13,"CRITICAL ≤7d",IF(J61&lt;=Admin!$C$12,"WARNING ≤30d","VALID"))))</f>
        <v/>
      </c>
      <c r="L61" s="7" t="n"/>
      <c r="M61" s="6">
        <f>IF(I61="","",I61-Admin!$C$12)</f>
        <v/>
      </c>
      <c r="N61" s="7" t="n"/>
    </row>
    <row r="62">
      <c r="B62" s="7" t="n"/>
      <c r="C62" s="7" t="n"/>
      <c r="D62" s="7" t="n"/>
      <c r="E62" s="7" t="n"/>
      <c r="F62" s="7" t="n"/>
      <c r="G62" s="7" t="n"/>
      <c r="H62" s="42" t="n"/>
      <c r="I62" s="42" t="n"/>
      <c r="J62" s="5">
        <f>IF(I62="","",I62-TODAY())</f>
        <v/>
      </c>
      <c r="K62" s="5">
        <f>IF(I62="","",IF(J62&lt;0,"EXPIRED",IF(J62&lt;=Admin!$C$13,"CRITICAL ≤7d",IF(J62&lt;=Admin!$C$12,"WARNING ≤30d","VALID"))))</f>
        <v/>
      </c>
      <c r="L62" s="7" t="n"/>
      <c r="M62" s="6">
        <f>IF(I62="","",I62-Admin!$C$12)</f>
        <v/>
      </c>
      <c r="N62" s="7" t="n"/>
    </row>
    <row r="63">
      <c r="B63" s="7" t="n"/>
      <c r="C63" s="7" t="n"/>
      <c r="D63" s="7" t="n"/>
      <c r="E63" s="7" t="n"/>
      <c r="F63" s="7" t="n"/>
      <c r="G63" s="7" t="n"/>
      <c r="H63" s="42" t="n"/>
      <c r="I63" s="42" t="n"/>
      <c r="J63" s="5">
        <f>IF(I63="","",I63-TODAY())</f>
        <v/>
      </c>
      <c r="K63" s="5">
        <f>IF(I63="","",IF(J63&lt;0,"EXPIRED",IF(J63&lt;=Admin!$C$13,"CRITICAL ≤7d",IF(J63&lt;=Admin!$C$12,"WARNING ≤30d","VALID"))))</f>
        <v/>
      </c>
      <c r="L63" s="7" t="n"/>
      <c r="M63" s="6">
        <f>IF(I63="","",I63-Admin!$C$12)</f>
        <v/>
      </c>
      <c r="N63" s="7" t="n"/>
    </row>
    <row r="64">
      <c r="B64" s="7" t="n"/>
      <c r="C64" s="7" t="n"/>
      <c r="D64" s="7" t="n"/>
      <c r="E64" s="7" t="n"/>
      <c r="F64" s="7" t="n"/>
      <c r="G64" s="7" t="n"/>
      <c r="H64" s="42" t="n"/>
      <c r="I64" s="42" t="n"/>
      <c r="J64" s="5">
        <f>IF(I64="","",I64-TODAY())</f>
        <v/>
      </c>
      <c r="K64" s="5">
        <f>IF(I64="","",IF(J64&lt;0,"EXPIRED",IF(J64&lt;=Admin!$C$13,"CRITICAL ≤7d",IF(J64&lt;=Admin!$C$12,"WARNING ≤30d","VALID"))))</f>
        <v/>
      </c>
      <c r="L64" s="7" t="n"/>
      <c r="M64" s="6">
        <f>IF(I64="","",I64-Admin!$C$12)</f>
        <v/>
      </c>
      <c r="N64" s="7" t="n"/>
    </row>
    <row r="65">
      <c r="B65" s="7" t="n"/>
      <c r="C65" s="7" t="n"/>
      <c r="D65" s="7" t="n"/>
      <c r="E65" s="7" t="n"/>
      <c r="F65" s="7" t="n"/>
      <c r="G65" s="7" t="n"/>
      <c r="H65" s="42" t="n"/>
      <c r="I65" s="42" t="n"/>
      <c r="J65" s="5">
        <f>IF(I65="","",I65-TODAY())</f>
        <v/>
      </c>
      <c r="K65" s="5">
        <f>IF(I65="","",IF(J65&lt;0,"EXPIRED",IF(J65&lt;=Admin!$C$13,"CRITICAL ≤7d",IF(J65&lt;=Admin!$C$12,"WARNING ≤30d","VALID"))))</f>
        <v/>
      </c>
      <c r="L65" s="7" t="n"/>
      <c r="M65" s="6">
        <f>IF(I65="","",I65-Admin!$C$12)</f>
        <v/>
      </c>
      <c r="N65" s="7" t="n"/>
    </row>
    <row r="66">
      <c r="B66" s="7" t="n"/>
      <c r="C66" s="7" t="n"/>
      <c r="D66" s="7" t="n"/>
      <c r="E66" s="7" t="n"/>
      <c r="F66" s="7" t="n"/>
      <c r="G66" s="7" t="n"/>
      <c r="H66" s="42" t="n"/>
      <c r="I66" s="42" t="n"/>
      <c r="J66" s="5">
        <f>IF(I66="","",I66-TODAY())</f>
        <v/>
      </c>
      <c r="K66" s="5">
        <f>IF(I66="","",IF(J66&lt;0,"EXPIRED",IF(J66&lt;=Admin!$C$13,"CRITICAL ≤7d",IF(J66&lt;=Admin!$C$12,"WARNING ≤30d","VALID"))))</f>
        <v/>
      </c>
      <c r="L66" s="7" t="n"/>
      <c r="M66" s="6">
        <f>IF(I66="","",I66-Admin!$C$12)</f>
        <v/>
      </c>
      <c r="N66" s="7" t="n"/>
    </row>
    <row r="67">
      <c r="B67" s="7" t="n"/>
      <c r="C67" s="7" t="n"/>
      <c r="D67" s="7" t="n"/>
      <c r="E67" s="7" t="n"/>
      <c r="F67" s="7" t="n"/>
      <c r="G67" s="7" t="n"/>
      <c r="H67" s="42" t="n"/>
      <c r="I67" s="42" t="n"/>
      <c r="J67" s="5">
        <f>IF(I67="","",I67-TODAY())</f>
        <v/>
      </c>
      <c r="K67" s="5">
        <f>IF(I67="","",IF(J67&lt;0,"EXPIRED",IF(J67&lt;=Admin!$C$13,"CRITICAL ≤7d",IF(J67&lt;=Admin!$C$12,"WARNING ≤30d","VALID"))))</f>
        <v/>
      </c>
      <c r="L67" s="7" t="n"/>
      <c r="M67" s="6">
        <f>IF(I67="","",I67-Admin!$C$12)</f>
        <v/>
      </c>
      <c r="N67" s="7" t="n"/>
    </row>
    <row r="68">
      <c r="B68" s="7" t="n"/>
      <c r="C68" s="7" t="n"/>
      <c r="D68" s="7" t="n"/>
      <c r="E68" s="7" t="n"/>
      <c r="F68" s="7" t="n"/>
      <c r="G68" s="7" t="n"/>
      <c r="H68" s="42" t="n"/>
      <c r="I68" s="42" t="n"/>
      <c r="J68" s="5">
        <f>IF(I68="","",I68-TODAY())</f>
        <v/>
      </c>
      <c r="K68" s="5">
        <f>IF(I68="","",IF(J68&lt;0,"EXPIRED",IF(J68&lt;=Admin!$C$13,"CRITICAL ≤7d",IF(J68&lt;=Admin!$C$12,"WARNING ≤30d","VALID"))))</f>
        <v/>
      </c>
      <c r="L68" s="7" t="n"/>
      <c r="M68" s="6">
        <f>IF(I68="","",I68-Admin!$C$12)</f>
        <v/>
      </c>
      <c r="N68" s="7" t="n"/>
    </row>
    <row r="69">
      <c r="B69" s="7" t="n"/>
      <c r="C69" s="7" t="n"/>
      <c r="D69" s="7" t="n"/>
      <c r="E69" s="7" t="n"/>
      <c r="F69" s="7" t="n"/>
      <c r="G69" s="7" t="n"/>
      <c r="H69" s="42" t="n"/>
      <c r="I69" s="42" t="n"/>
      <c r="J69" s="5">
        <f>IF(I69="","",I69-TODAY())</f>
        <v/>
      </c>
      <c r="K69" s="5">
        <f>IF(I69="","",IF(J69&lt;0,"EXPIRED",IF(J69&lt;=Admin!$C$13,"CRITICAL ≤7d",IF(J69&lt;=Admin!$C$12,"WARNING ≤30d","VALID"))))</f>
        <v/>
      </c>
      <c r="L69" s="7" t="n"/>
      <c r="M69" s="6">
        <f>IF(I69="","",I69-Admin!$C$12)</f>
        <v/>
      </c>
      <c r="N69" s="7" t="n"/>
    </row>
    <row r="70">
      <c r="B70" s="7" t="n"/>
      <c r="C70" s="7" t="n"/>
      <c r="D70" s="7" t="n"/>
      <c r="E70" s="7" t="n"/>
      <c r="F70" s="7" t="n"/>
      <c r="G70" s="7" t="n"/>
      <c r="H70" s="42" t="n"/>
      <c r="I70" s="42" t="n"/>
      <c r="J70" s="5">
        <f>IF(I70="","",I70-TODAY())</f>
        <v/>
      </c>
      <c r="K70" s="5">
        <f>IF(I70="","",IF(J70&lt;0,"EXPIRED",IF(J70&lt;=Admin!$C$13,"CRITICAL ≤7d",IF(J70&lt;=Admin!$C$12,"WARNING ≤30d","VALID"))))</f>
        <v/>
      </c>
      <c r="L70" s="7" t="n"/>
      <c r="M70" s="6">
        <f>IF(I70="","",I70-Admin!$C$12)</f>
        <v/>
      </c>
      <c r="N70" s="7" t="n"/>
    </row>
    <row r="71">
      <c r="B71" s="7" t="n"/>
      <c r="C71" s="7" t="n"/>
      <c r="D71" s="7" t="n"/>
      <c r="E71" s="7" t="n"/>
      <c r="F71" s="7" t="n"/>
      <c r="G71" s="7" t="n"/>
      <c r="H71" s="42" t="n"/>
      <c r="I71" s="42" t="n"/>
      <c r="J71" s="5">
        <f>IF(I71="","",I71-TODAY())</f>
        <v/>
      </c>
      <c r="K71" s="5">
        <f>IF(I71="","",IF(J71&lt;0,"EXPIRED",IF(J71&lt;=Admin!$C$13,"CRITICAL ≤7d",IF(J71&lt;=Admin!$C$12,"WARNING ≤30d","VALID"))))</f>
        <v/>
      </c>
      <c r="L71" s="7" t="n"/>
      <c r="M71" s="6">
        <f>IF(I71="","",I71-Admin!$C$12)</f>
        <v/>
      </c>
      <c r="N71" s="7" t="n"/>
    </row>
    <row r="72">
      <c r="B72" s="7" t="n"/>
      <c r="C72" s="7" t="n"/>
      <c r="D72" s="7" t="n"/>
      <c r="E72" s="7" t="n"/>
      <c r="F72" s="7" t="n"/>
      <c r="G72" s="7" t="n"/>
      <c r="H72" s="42" t="n"/>
      <c r="I72" s="42" t="n"/>
      <c r="J72" s="5">
        <f>IF(I72="","",I72-TODAY())</f>
        <v/>
      </c>
      <c r="K72" s="5">
        <f>IF(I72="","",IF(J72&lt;0,"EXPIRED",IF(J72&lt;=Admin!$C$13,"CRITICAL ≤7d",IF(J72&lt;=Admin!$C$12,"WARNING ≤30d","VALID"))))</f>
        <v/>
      </c>
      <c r="L72" s="7" t="n"/>
      <c r="M72" s="6">
        <f>IF(I72="","",I72-Admin!$C$12)</f>
        <v/>
      </c>
      <c r="N72" s="7" t="n"/>
    </row>
    <row r="73">
      <c r="B73" s="7" t="n"/>
      <c r="C73" s="7" t="n"/>
      <c r="D73" s="7" t="n"/>
      <c r="E73" s="7" t="n"/>
      <c r="F73" s="7" t="n"/>
      <c r="G73" s="7" t="n"/>
      <c r="H73" s="42" t="n"/>
      <c r="I73" s="42" t="n"/>
      <c r="J73" s="5">
        <f>IF(I73="","",I73-TODAY())</f>
        <v/>
      </c>
      <c r="K73" s="5">
        <f>IF(I73="","",IF(J73&lt;0,"EXPIRED",IF(J73&lt;=Admin!$C$13,"CRITICAL ≤7d",IF(J73&lt;=Admin!$C$12,"WARNING ≤30d","VALID"))))</f>
        <v/>
      </c>
      <c r="L73" s="7" t="n"/>
      <c r="M73" s="6">
        <f>IF(I73="","",I73-Admin!$C$12)</f>
        <v/>
      </c>
      <c r="N73" s="7" t="n"/>
    </row>
    <row r="74">
      <c r="B74" s="7" t="n"/>
      <c r="C74" s="7" t="n"/>
      <c r="D74" s="7" t="n"/>
      <c r="E74" s="7" t="n"/>
      <c r="F74" s="7" t="n"/>
      <c r="G74" s="7" t="n"/>
      <c r="H74" s="42" t="n"/>
      <c r="I74" s="42" t="n"/>
      <c r="J74" s="5">
        <f>IF(I74="","",I74-TODAY())</f>
        <v/>
      </c>
      <c r="K74" s="5">
        <f>IF(I74="","",IF(J74&lt;0,"EXPIRED",IF(J74&lt;=Admin!$C$13,"CRITICAL ≤7d",IF(J74&lt;=Admin!$C$12,"WARNING ≤30d","VALID"))))</f>
        <v/>
      </c>
      <c r="L74" s="7" t="n"/>
      <c r="M74" s="6">
        <f>IF(I74="","",I74-Admin!$C$12)</f>
        <v/>
      </c>
      <c r="N74" s="7" t="n"/>
    </row>
    <row r="75">
      <c r="B75" s="7" t="n"/>
      <c r="C75" s="7" t="n"/>
      <c r="D75" s="7" t="n"/>
      <c r="E75" s="7" t="n"/>
      <c r="F75" s="7" t="n"/>
      <c r="G75" s="7" t="n"/>
      <c r="H75" s="42" t="n"/>
      <c r="I75" s="42" t="n"/>
      <c r="J75" s="5">
        <f>IF(I75="","",I75-TODAY())</f>
        <v/>
      </c>
      <c r="K75" s="5">
        <f>IF(I75="","",IF(J75&lt;0,"EXPIRED",IF(J75&lt;=Admin!$C$13,"CRITICAL ≤7d",IF(J75&lt;=Admin!$C$12,"WARNING ≤30d","VALID"))))</f>
        <v/>
      </c>
      <c r="L75" s="7" t="n"/>
      <c r="M75" s="6">
        <f>IF(I75="","",I75-Admin!$C$12)</f>
        <v/>
      </c>
      <c r="N75" s="7" t="n"/>
    </row>
    <row r="76">
      <c r="B76" s="7" t="n"/>
      <c r="C76" s="7" t="n"/>
      <c r="D76" s="7" t="n"/>
      <c r="E76" s="7" t="n"/>
      <c r="F76" s="7" t="n"/>
      <c r="G76" s="7" t="n"/>
      <c r="H76" s="42" t="n"/>
      <c r="I76" s="42" t="n"/>
      <c r="J76" s="5">
        <f>IF(I76="","",I76-TODAY())</f>
        <v/>
      </c>
      <c r="K76" s="5">
        <f>IF(I76="","",IF(J76&lt;0,"EXPIRED",IF(J76&lt;=Admin!$C$13,"CRITICAL ≤7d",IF(J76&lt;=Admin!$C$12,"WARNING ≤30d","VALID"))))</f>
        <v/>
      </c>
      <c r="L76" s="7" t="n"/>
      <c r="M76" s="6">
        <f>IF(I76="","",I76-Admin!$C$12)</f>
        <v/>
      </c>
      <c r="N76" s="7" t="n"/>
    </row>
    <row r="77">
      <c r="B77" s="7" t="n"/>
      <c r="C77" s="7" t="n"/>
      <c r="D77" s="7" t="n"/>
      <c r="E77" s="7" t="n"/>
      <c r="F77" s="7" t="n"/>
      <c r="G77" s="7" t="n"/>
      <c r="H77" s="42" t="n"/>
      <c r="I77" s="42" t="n"/>
      <c r="J77" s="5">
        <f>IF(I77="","",I77-TODAY())</f>
        <v/>
      </c>
      <c r="K77" s="5">
        <f>IF(I77="","",IF(J77&lt;0,"EXPIRED",IF(J77&lt;=Admin!$C$13,"CRITICAL ≤7d",IF(J77&lt;=Admin!$C$12,"WARNING ≤30d","VALID"))))</f>
        <v/>
      </c>
      <c r="L77" s="7" t="n"/>
      <c r="M77" s="6">
        <f>IF(I77="","",I77-Admin!$C$12)</f>
        <v/>
      </c>
      <c r="N77" s="7" t="n"/>
    </row>
    <row r="78">
      <c r="B78" s="7" t="n"/>
      <c r="C78" s="7" t="n"/>
      <c r="D78" s="7" t="n"/>
      <c r="E78" s="7" t="n"/>
      <c r="F78" s="7" t="n"/>
      <c r="G78" s="7" t="n"/>
      <c r="H78" s="42" t="n"/>
      <c r="I78" s="42" t="n"/>
      <c r="J78" s="5">
        <f>IF(I78="","",I78-TODAY())</f>
        <v/>
      </c>
      <c r="K78" s="5">
        <f>IF(I78="","",IF(J78&lt;0,"EXPIRED",IF(J78&lt;=Admin!$C$13,"CRITICAL ≤7d",IF(J78&lt;=Admin!$C$12,"WARNING ≤30d","VALID"))))</f>
        <v/>
      </c>
      <c r="L78" s="7" t="n"/>
      <c r="M78" s="6">
        <f>IF(I78="","",I78-Admin!$C$12)</f>
        <v/>
      </c>
      <c r="N78" s="7" t="n"/>
    </row>
    <row r="79">
      <c r="B79" s="7" t="n"/>
      <c r="C79" s="7" t="n"/>
      <c r="D79" s="7" t="n"/>
      <c r="E79" s="7" t="n"/>
      <c r="F79" s="7" t="n"/>
      <c r="G79" s="7" t="n"/>
      <c r="H79" s="42" t="n"/>
      <c r="I79" s="42" t="n"/>
      <c r="J79" s="5">
        <f>IF(I79="","",I79-TODAY())</f>
        <v/>
      </c>
      <c r="K79" s="5">
        <f>IF(I79="","",IF(J79&lt;0,"EXPIRED",IF(J79&lt;=Admin!$C$13,"CRITICAL ≤7d",IF(J79&lt;=Admin!$C$12,"WARNING ≤30d","VALID"))))</f>
        <v/>
      </c>
      <c r="L79" s="7" t="n"/>
      <c r="M79" s="6">
        <f>IF(I79="","",I79-Admin!$C$12)</f>
        <v/>
      </c>
      <c r="N79" s="7" t="n"/>
    </row>
  </sheetData>
  <mergeCells count="2">
    <mergeCell ref="A2:N2"/>
    <mergeCell ref="A1:N1"/>
  </mergeCells>
  <conditionalFormatting sqref="K5:K80">
    <cfRule type="expression" priority="1" dxfId="1">
      <formula>$K5="VALID"</formula>
    </cfRule>
    <cfRule type="expression" priority="2" dxfId="3">
      <formula>$K5="WARNING ≤30d"</formula>
    </cfRule>
    <cfRule type="expression" priority="3" dxfId="7">
      <formula>OR($K5="EXPIRED",$K5="CRITICAL ≤7d")</formula>
    </cfRule>
  </conditionalFormatting>
  <conditionalFormatting sqref="J5:J80">
    <cfRule type="cellIs" priority="4" operator="lessThanOrEqual" dxfId="3">
      <formula>30</formula>
    </cfRule>
    <cfRule type="cellIs" priority="5" operator="lessThanOrEqual" dxfId="0">
      <formula>7</formula>
    </cfRule>
  </conditionalFormatting>
  <dataValidations count="2">
    <dataValidation sqref="E5:E80" showDropDown="0" showInputMessage="0" showErrorMessage="0" allowBlank="1" type="list">
      <formula1>=Lookups!$G$5:$G$20</formula1>
    </dataValidation>
    <dataValidation sqref="F5:F80" showDropDown="0" showInputMessage="0" showErrorMessage="0" allowBlank="1" type="list">
      <formula1>=Lookups!$E$5:$E$12</formula1>
    </dataValidation>
  </dataValidations>
  <pageMargins left="0.75" right="0.75" top="1" bottom="1" header="0.5" footer="0.5"/>
  <pageSetup orientation="landscape" paperSize="9" fitToHeight="0" fitToWidth="1"/>
  <headerFooter>
    <oddHeader>&amp;LKAZ PP Expansion | EHS</oddHeader>
    <oddFooter>&amp;RConfidential | 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7F8C8D"/>
    <outlinePr summaryBelow="1" summaryRight="1"/>
    <pageSetUpPr fitToPage="1"/>
  </sheetPr>
  <dimension ref="A1:O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8" customWidth="1" min="4" max="4"/>
    <col width="18" customWidth="1" min="5" max="5"/>
    <col width="16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8" customWidth="1" min="12" max="12"/>
    <col width="16" customWidth="1" min="13" max="13"/>
    <col width="18" customWidth="1" min="14" max="14"/>
    <col width="20" customWidth="1" min="15" max="15"/>
  </cols>
  <sheetData>
    <row r="1" ht="32" customHeight="1">
      <c r="A1" s="1" t="inlineStr">
        <is>
          <t>09  |  HEAVY EQUIPMENT INSPECTION &amp; 3RD PARTY CERTIFICATES</t>
        </is>
      </c>
    </row>
    <row r="2" ht="20" customHeight="1">
      <c r="A2" s="2" t="inlineStr">
        <is>
          <t>Colour alerts 30 days before certificate / inspection expiry. Quarantine if expired.</t>
        </is>
      </c>
    </row>
    <row r="4">
      <c r="B4" s="9" t="inlineStr">
        <is>
          <t>Asset ID</t>
        </is>
      </c>
      <c r="C4" s="9" t="inlineStr">
        <is>
          <t>Equipment Type</t>
        </is>
      </c>
      <c r="D4" s="9" t="inlineStr">
        <is>
          <t>Make / Model</t>
        </is>
      </c>
      <c r="E4" s="9" t="inlineStr">
        <is>
          <t>Owner / Contractor</t>
        </is>
      </c>
      <c r="F4" s="9" t="inlineStr">
        <is>
          <t>Plate / Serial</t>
        </is>
      </c>
      <c r="G4" s="9" t="inlineStr">
        <is>
          <t>3rd Party Cert No.</t>
        </is>
      </c>
      <c r="H4" s="9" t="inlineStr">
        <is>
          <t>Cert Expiry</t>
        </is>
      </c>
      <c r="I4" s="9" t="inlineStr">
        <is>
          <t>Days to Cert</t>
        </is>
      </c>
      <c r="J4" s="9" t="inlineStr">
        <is>
          <t>Last Inspection</t>
        </is>
      </c>
      <c r="K4" s="9" t="inlineStr">
        <is>
          <t>Next Inspection</t>
        </is>
      </c>
      <c r="L4" s="9" t="inlineStr">
        <is>
          <t>Days to Insp.</t>
        </is>
      </c>
      <c r="M4" s="9" t="inlineStr">
        <is>
          <t>Status</t>
        </is>
      </c>
      <c r="N4" s="9" t="inlineStr">
        <is>
          <t>Operator EMP-ID</t>
        </is>
      </c>
      <c r="O4" s="9" t="inlineStr">
        <is>
          <t>Remarks</t>
        </is>
      </c>
    </row>
    <row r="5">
      <c r="B5" s="7" t="inlineStr">
        <is>
          <t>CRN-01</t>
        </is>
      </c>
      <c r="C5" s="7" t="inlineStr">
        <is>
          <t>Mobile Crane</t>
        </is>
      </c>
      <c r="D5" s="7" t="inlineStr">
        <is>
          <t>Liebherr LTM 1100</t>
        </is>
      </c>
      <c r="E5" s="7" t="inlineStr">
        <is>
          <t>Lifting Contractor E</t>
        </is>
      </c>
      <c r="F5" s="7" t="inlineStr">
        <is>
          <t>SN-8821</t>
        </is>
      </c>
      <c r="G5" s="7" t="inlineStr">
        <is>
          <t>TPI-CR-2025-09</t>
        </is>
      </c>
      <c r="H5" s="42" t="n">
        <v>46127</v>
      </c>
      <c r="I5" s="5">
        <f>IF(H5="","",H5-TODAY())</f>
        <v/>
      </c>
      <c r="J5" s="42" t="n">
        <v>46082</v>
      </c>
      <c r="K5" s="42" t="n">
        <v>46089</v>
      </c>
      <c r="L5" s="5">
        <f>IF(K5="","",K5-TODAY())</f>
        <v/>
      </c>
      <c r="M5" s="5">
        <f>IF(H5="","",IF(OR(I5&lt;0,L5&lt;0),"QUARANTINE / EXPIRED",IF(OR(I5&lt;=Admin!$C$13,L5&lt;=Admin!$C$13),"CRITICAL ≤7d",IF(OR(I5&lt;=Admin!$C$12,L5&lt;=Admin!$C$12),"WARNING ≤30d","FIT FOR USE"))))</f>
        <v/>
      </c>
    </row>
    <row r="6">
      <c r="B6" s="7" t="inlineStr">
        <is>
          <t>EXC-04</t>
        </is>
      </c>
      <c r="C6" s="7" t="inlineStr">
        <is>
          <t>Excavator</t>
        </is>
      </c>
      <c r="D6" s="7" t="inlineStr">
        <is>
          <t>CAT 336</t>
        </is>
      </c>
      <c r="E6" s="7" t="inlineStr">
        <is>
          <t>Team Al-Mayal</t>
        </is>
      </c>
      <c r="F6" s="7" t="inlineStr">
        <is>
          <t>SN-336-12</t>
        </is>
      </c>
      <c r="G6" s="7" t="inlineStr">
        <is>
          <t>TPI-EX-2025-11</t>
        </is>
      </c>
      <c r="H6" s="42" t="n">
        <v>46143</v>
      </c>
      <c r="I6" s="5">
        <f>IF(H6="","",H6-TODAY())</f>
        <v/>
      </c>
      <c r="J6" s="42" t="n">
        <v>46086</v>
      </c>
      <c r="K6" s="42" t="n">
        <v>46093</v>
      </c>
      <c r="L6" s="5">
        <f>IF(K6="","",K6-TODAY())</f>
        <v/>
      </c>
      <c r="M6" s="5">
        <f>IF(H6="","",IF(OR(I6&lt;0,L6&lt;0),"QUARANTINE / EXPIRED",IF(OR(I6&lt;=Admin!$C$13,L6&lt;=Admin!$C$13),"CRITICAL ≤7d",IF(OR(I6&lt;=Admin!$C$12,L6&lt;=Admin!$C$12),"WARNING ≤30d","FIT FOR USE"))))</f>
        <v/>
      </c>
    </row>
    <row r="7">
      <c r="B7" s="7" t="inlineStr">
        <is>
          <t>MEWP-2</t>
        </is>
      </c>
      <c r="C7" s="7" t="inlineStr">
        <is>
          <t>MEWP / Manlift</t>
        </is>
      </c>
      <c r="D7" s="7" t="inlineStr">
        <is>
          <t>JLG 600SJ</t>
        </is>
      </c>
      <c r="E7" s="7" t="inlineStr">
        <is>
          <t>Team Seisms</t>
        </is>
      </c>
      <c r="F7" s="7" t="inlineStr">
        <is>
          <t>SN-600-77</t>
        </is>
      </c>
      <c r="G7" s="7" t="inlineStr">
        <is>
          <t>TPI-MW-2025-08</t>
        </is>
      </c>
      <c r="H7" s="42" t="n">
        <v>46106</v>
      </c>
      <c r="I7" s="5">
        <f>IF(H7="","",H7-TODAY())</f>
        <v/>
      </c>
      <c r="J7" s="42" t="n">
        <v>46073</v>
      </c>
      <c r="K7" s="42" t="n">
        <v>46087</v>
      </c>
      <c r="L7" s="5">
        <f>IF(K7="","",K7-TODAY())</f>
        <v/>
      </c>
      <c r="M7" s="5">
        <f>IF(H7="","",IF(OR(I7&lt;0,L7&lt;0),"QUARANTINE / EXPIRED",IF(OR(I7&lt;=Admin!$C$13,L7&lt;=Admin!$C$13),"CRITICAL ≤7d",IF(OR(I7&lt;=Admin!$C$12,L7&lt;=Admin!$C$12),"WARNING ≤30d","FIT FOR USE"))))</f>
        <v/>
      </c>
    </row>
    <row r="8">
      <c r="B8" s="7" t="inlineStr">
        <is>
          <t>GEN-03</t>
        </is>
      </c>
      <c r="C8" s="7" t="inlineStr">
        <is>
          <t>Generator</t>
        </is>
      </c>
      <c r="D8" s="7" t="inlineStr">
        <is>
          <t>Cummins 250kVA</t>
        </is>
      </c>
      <c r="E8" s="7" t="inlineStr">
        <is>
          <t>Electrical Subcontractor C</t>
        </is>
      </c>
      <c r="F8" s="7" t="inlineStr">
        <is>
          <t>SN-CU-250</t>
        </is>
      </c>
      <c r="G8" s="7" t="inlineStr">
        <is>
          <t>TPI-GN-2025-01</t>
        </is>
      </c>
      <c r="H8" s="42" t="n">
        <v>46099</v>
      </c>
      <c r="I8" s="5">
        <f>IF(H8="","",H8-TODAY())</f>
        <v/>
      </c>
      <c r="J8" s="42" t="n">
        <v>46082</v>
      </c>
      <c r="K8" s="42" t="n">
        <v>46113</v>
      </c>
      <c r="L8" s="5">
        <f>IF(K8="","",K8-TODAY())</f>
        <v/>
      </c>
      <c r="M8" s="5">
        <f>IF(H8="","",IF(OR(I8&lt;0,L8&lt;0),"QUARANTINE / EXPIRED",IF(OR(I8&lt;=Admin!$C$13,L8&lt;=Admin!$C$13),"CRITICAL ≤7d",IF(OR(I8&lt;=Admin!$C$12,L8&lt;=Admin!$C$12),"WARNING ≤30d","FIT FOR USE"))))</f>
        <v/>
      </c>
    </row>
    <row r="9">
      <c r="B9" s="7" t="inlineStr">
        <is>
          <t>FLT-01</t>
        </is>
      </c>
      <c r="C9" s="7" t="inlineStr">
        <is>
          <t>Forklift</t>
        </is>
      </c>
      <c r="D9" s="7" t="inlineStr">
        <is>
          <t>Toyota 8FD</t>
        </is>
      </c>
      <c r="E9" s="7" t="inlineStr">
        <is>
          <t>Team Seisms</t>
        </is>
      </c>
      <c r="F9" s="7" t="inlineStr">
        <is>
          <t>SN-TY-19</t>
        </is>
      </c>
      <c r="G9" s="7" t="inlineStr">
        <is>
          <t>TPI-FL-2025-12</t>
        </is>
      </c>
      <c r="H9" s="42" t="n">
        <v>46357</v>
      </c>
      <c r="I9" s="5">
        <f>IF(H9="","",H9-TODAY())</f>
        <v/>
      </c>
      <c r="J9" s="42" t="n">
        <v>46090</v>
      </c>
      <c r="K9" s="42" t="n">
        <v>46097</v>
      </c>
      <c r="L9" s="5">
        <f>IF(K9="","",K9-TODAY())</f>
        <v/>
      </c>
      <c r="M9" s="5">
        <f>IF(H9="","",IF(OR(I9&lt;0,L9&lt;0),"QUARANTINE / EXPIRED",IF(OR(I9&lt;=Admin!$C$13,L9&lt;=Admin!$C$13),"CRITICAL ≤7d",IF(OR(I9&lt;=Admin!$C$12,L9&lt;=Admin!$C$12),"WARNING ≤30d","FIT FOR USE"))))</f>
        <v/>
      </c>
    </row>
    <row r="10">
      <c r="B10" s="7" t="n"/>
      <c r="C10" s="7" t="n"/>
      <c r="D10" s="7" t="n"/>
      <c r="E10" s="7" t="n"/>
      <c r="F10" s="7" t="n"/>
      <c r="G10" s="7" t="n"/>
      <c r="H10" s="42" t="n"/>
      <c r="I10" s="5">
        <f>IF(H10="","",H10-TODAY())</f>
        <v/>
      </c>
      <c r="J10" s="42" t="n"/>
      <c r="K10" s="42" t="n"/>
      <c r="L10" s="5">
        <f>IF(K10="","",K10-TODAY())</f>
        <v/>
      </c>
      <c r="M10" s="5">
        <f>IF(H10="","",IF(OR(I10&lt;0,L10&lt;0),"QUARANTINE / EXPIRED",IF(OR(I10&lt;=Admin!$C$13,L10&lt;=Admin!$C$13),"CRITICAL ≤7d",IF(OR(I10&lt;=Admin!$C$12,L10&lt;=Admin!$C$12),"WARNING ≤30d","FIT FOR USE"))))</f>
        <v/>
      </c>
      <c r="N10" s="7" t="n"/>
      <c r="O10" s="7" t="n"/>
    </row>
    <row r="11">
      <c r="B11" s="7" t="n"/>
      <c r="C11" s="7" t="n"/>
      <c r="D11" s="7" t="n"/>
      <c r="E11" s="7" t="n"/>
      <c r="F11" s="7" t="n"/>
      <c r="G11" s="7" t="n"/>
      <c r="H11" s="42" t="n"/>
      <c r="I11" s="5">
        <f>IF(H11="","",H11-TODAY())</f>
        <v/>
      </c>
      <c r="J11" s="42" t="n"/>
      <c r="K11" s="42" t="n"/>
      <c r="L11" s="5">
        <f>IF(K11="","",K11-TODAY())</f>
        <v/>
      </c>
      <c r="M11" s="5">
        <f>IF(H11="","",IF(OR(I11&lt;0,L11&lt;0),"QUARANTINE / EXPIRED",IF(OR(I11&lt;=Admin!$C$13,L11&lt;=Admin!$C$13),"CRITICAL ≤7d",IF(OR(I11&lt;=Admin!$C$12,L11&lt;=Admin!$C$12),"WARNING ≤30d","FIT FOR USE"))))</f>
        <v/>
      </c>
      <c r="N11" s="7" t="n"/>
      <c r="O11" s="7" t="n"/>
    </row>
    <row r="12">
      <c r="B12" s="7" t="n"/>
      <c r="C12" s="7" t="n"/>
      <c r="D12" s="7" t="n"/>
      <c r="E12" s="7" t="n"/>
      <c r="F12" s="7" t="n"/>
      <c r="G12" s="7" t="n"/>
      <c r="H12" s="42" t="n"/>
      <c r="I12" s="5">
        <f>IF(H12="","",H12-TODAY())</f>
        <v/>
      </c>
      <c r="J12" s="42" t="n"/>
      <c r="K12" s="42" t="n"/>
      <c r="L12" s="5">
        <f>IF(K12="","",K12-TODAY())</f>
        <v/>
      </c>
      <c r="M12" s="5">
        <f>IF(H12="","",IF(OR(I12&lt;0,L12&lt;0),"QUARANTINE / EXPIRED",IF(OR(I12&lt;=Admin!$C$13,L12&lt;=Admin!$C$13),"CRITICAL ≤7d",IF(OR(I12&lt;=Admin!$C$12,L12&lt;=Admin!$C$12),"WARNING ≤30d","FIT FOR USE"))))</f>
        <v/>
      </c>
      <c r="N12" s="7" t="n"/>
      <c r="O12" s="7" t="n"/>
    </row>
    <row r="13">
      <c r="B13" s="7" t="n"/>
      <c r="C13" s="7" t="n"/>
      <c r="D13" s="7" t="n"/>
      <c r="E13" s="7" t="n"/>
      <c r="F13" s="7" t="n"/>
      <c r="G13" s="7" t="n"/>
      <c r="H13" s="42" t="n"/>
      <c r="I13" s="5">
        <f>IF(H13="","",H13-TODAY())</f>
        <v/>
      </c>
      <c r="J13" s="42" t="n"/>
      <c r="K13" s="42" t="n"/>
      <c r="L13" s="5">
        <f>IF(K13="","",K13-TODAY())</f>
        <v/>
      </c>
      <c r="M13" s="5">
        <f>IF(H13="","",IF(OR(I13&lt;0,L13&lt;0),"QUARANTINE / EXPIRED",IF(OR(I13&lt;=Admin!$C$13,L13&lt;=Admin!$C$13),"CRITICAL ≤7d",IF(OR(I13&lt;=Admin!$C$12,L13&lt;=Admin!$C$12),"WARNING ≤30d","FIT FOR USE"))))</f>
        <v/>
      </c>
      <c r="N13" s="7" t="n"/>
      <c r="O13" s="7" t="n"/>
    </row>
    <row r="14">
      <c r="B14" s="7" t="n"/>
      <c r="C14" s="7" t="n"/>
      <c r="D14" s="7" t="n"/>
      <c r="E14" s="7" t="n"/>
      <c r="F14" s="7" t="n"/>
      <c r="G14" s="7" t="n"/>
      <c r="H14" s="42" t="n"/>
      <c r="I14" s="5">
        <f>IF(H14="","",H14-TODAY())</f>
        <v/>
      </c>
      <c r="J14" s="42" t="n"/>
      <c r="K14" s="42" t="n"/>
      <c r="L14" s="5">
        <f>IF(K14="","",K14-TODAY())</f>
        <v/>
      </c>
      <c r="M14" s="5">
        <f>IF(H14="","",IF(OR(I14&lt;0,L14&lt;0),"QUARANTINE / EXPIRED",IF(OR(I14&lt;=Admin!$C$13,L14&lt;=Admin!$C$13),"CRITICAL ≤7d",IF(OR(I14&lt;=Admin!$C$12,L14&lt;=Admin!$C$12),"WARNING ≤30d","FIT FOR USE"))))</f>
        <v/>
      </c>
      <c r="N14" s="7" t="n"/>
      <c r="O14" s="7" t="n"/>
    </row>
    <row r="15">
      <c r="B15" s="7" t="n"/>
      <c r="C15" s="7" t="n"/>
      <c r="D15" s="7" t="n"/>
      <c r="E15" s="7" t="n"/>
      <c r="F15" s="7" t="n"/>
      <c r="G15" s="7" t="n"/>
      <c r="H15" s="42" t="n"/>
      <c r="I15" s="5">
        <f>IF(H15="","",H15-TODAY())</f>
        <v/>
      </c>
      <c r="J15" s="42" t="n"/>
      <c r="K15" s="42" t="n"/>
      <c r="L15" s="5">
        <f>IF(K15="","",K15-TODAY())</f>
        <v/>
      </c>
      <c r="M15" s="5">
        <f>IF(H15="","",IF(OR(I15&lt;0,L15&lt;0),"QUARANTINE / EXPIRED",IF(OR(I15&lt;=Admin!$C$13,L15&lt;=Admin!$C$13),"CRITICAL ≤7d",IF(OR(I15&lt;=Admin!$C$12,L15&lt;=Admin!$C$12),"WARNING ≤30d","FIT FOR USE"))))</f>
        <v/>
      </c>
      <c r="N15" s="7" t="n"/>
      <c r="O15" s="7" t="n"/>
    </row>
    <row r="16">
      <c r="B16" s="7" t="n"/>
      <c r="C16" s="7" t="n"/>
      <c r="D16" s="7" t="n"/>
      <c r="E16" s="7" t="n"/>
      <c r="F16" s="7" t="n"/>
      <c r="G16" s="7" t="n"/>
      <c r="H16" s="42" t="n"/>
      <c r="I16" s="5">
        <f>IF(H16="","",H16-TODAY())</f>
        <v/>
      </c>
      <c r="J16" s="42" t="n"/>
      <c r="K16" s="42" t="n"/>
      <c r="L16" s="5">
        <f>IF(K16="","",K16-TODAY())</f>
        <v/>
      </c>
      <c r="M16" s="5">
        <f>IF(H16="","",IF(OR(I16&lt;0,L16&lt;0),"QUARANTINE / EXPIRED",IF(OR(I16&lt;=Admin!$C$13,L16&lt;=Admin!$C$13),"CRITICAL ≤7d",IF(OR(I16&lt;=Admin!$C$12,L16&lt;=Admin!$C$12),"WARNING ≤30d","FIT FOR USE"))))</f>
        <v/>
      </c>
      <c r="N16" s="7" t="n"/>
      <c r="O16" s="7" t="n"/>
    </row>
    <row r="17">
      <c r="B17" s="7" t="n"/>
      <c r="C17" s="7" t="n"/>
      <c r="D17" s="7" t="n"/>
      <c r="E17" s="7" t="n"/>
      <c r="F17" s="7" t="n"/>
      <c r="G17" s="7" t="n"/>
      <c r="H17" s="42" t="n"/>
      <c r="I17" s="5">
        <f>IF(H17="","",H17-TODAY())</f>
        <v/>
      </c>
      <c r="J17" s="42" t="n"/>
      <c r="K17" s="42" t="n"/>
      <c r="L17" s="5">
        <f>IF(K17="","",K17-TODAY())</f>
        <v/>
      </c>
      <c r="M17" s="5">
        <f>IF(H17="","",IF(OR(I17&lt;0,L17&lt;0),"QUARANTINE / EXPIRED",IF(OR(I17&lt;=Admin!$C$13,L17&lt;=Admin!$C$13),"CRITICAL ≤7d",IF(OR(I17&lt;=Admin!$C$12,L17&lt;=Admin!$C$12),"WARNING ≤30d","FIT FOR USE"))))</f>
        <v/>
      </c>
      <c r="N17" s="7" t="n"/>
      <c r="O17" s="7" t="n"/>
    </row>
    <row r="18">
      <c r="B18" s="7" t="n"/>
      <c r="C18" s="7" t="n"/>
      <c r="D18" s="7" t="n"/>
      <c r="E18" s="7" t="n"/>
      <c r="F18" s="7" t="n"/>
      <c r="G18" s="7" t="n"/>
      <c r="H18" s="42" t="n"/>
      <c r="I18" s="5">
        <f>IF(H18="","",H18-TODAY())</f>
        <v/>
      </c>
      <c r="J18" s="42" t="n"/>
      <c r="K18" s="42" t="n"/>
      <c r="L18" s="5">
        <f>IF(K18="","",K18-TODAY())</f>
        <v/>
      </c>
      <c r="M18" s="5">
        <f>IF(H18="","",IF(OR(I18&lt;0,L18&lt;0),"QUARANTINE / EXPIRED",IF(OR(I18&lt;=Admin!$C$13,L18&lt;=Admin!$C$13),"CRITICAL ≤7d",IF(OR(I18&lt;=Admin!$C$12,L18&lt;=Admin!$C$12),"WARNING ≤30d","FIT FOR USE"))))</f>
        <v/>
      </c>
      <c r="N18" s="7" t="n"/>
      <c r="O18" s="7" t="n"/>
    </row>
    <row r="19">
      <c r="B19" s="7" t="n"/>
      <c r="C19" s="7" t="n"/>
      <c r="D19" s="7" t="n"/>
      <c r="E19" s="7" t="n"/>
      <c r="F19" s="7" t="n"/>
      <c r="G19" s="7" t="n"/>
      <c r="H19" s="42" t="n"/>
      <c r="I19" s="5">
        <f>IF(H19="","",H19-TODAY())</f>
        <v/>
      </c>
      <c r="J19" s="42" t="n"/>
      <c r="K19" s="42" t="n"/>
      <c r="L19" s="5">
        <f>IF(K19="","",K19-TODAY())</f>
        <v/>
      </c>
      <c r="M19" s="5">
        <f>IF(H19="","",IF(OR(I19&lt;0,L19&lt;0),"QUARANTINE / EXPIRED",IF(OR(I19&lt;=Admin!$C$13,L19&lt;=Admin!$C$13),"CRITICAL ≤7d",IF(OR(I19&lt;=Admin!$C$12,L19&lt;=Admin!$C$12),"WARNING ≤30d","FIT FOR USE"))))</f>
        <v/>
      </c>
      <c r="N19" s="7" t="n"/>
      <c r="O19" s="7" t="n"/>
    </row>
    <row r="20">
      <c r="B20" s="7" t="n"/>
      <c r="C20" s="7" t="n"/>
      <c r="D20" s="7" t="n"/>
      <c r="E20" s="7" t="n"/>
      <c r="F20" s="7" t="n"/>
      <c r="G20" s="7" t="n"/>
      <c r="H20" s="42" t="n"/>
      <c r="I20" s="5">
        <f>IF(H20="","",H20-TODAY())</f>
        <v/>
      </c>
      <c r="J20" s="42" t="n"/>
      <c r="K20" s="42" t="n"/>
      <c r="L20" s="5">
        <f>IF(K20="","",K20-TODAY())</f>
        <v/>
      </c>
      <c r="M20" s="5">
        <f>IF(H20="","",IF(OR(I20&lt;0,L20&lt;0),"QUARANTINE / EXPIRED",IF(OR(I20&lt;=Admin!$C$13,L20&lt;=Admin!$C$13),"CRITICAL ≤7d",IF(OR(I20&lt;=Admin!$C$12,L20&lt;=Admin!$C$12),"WARNING ≤30d","FIT FOR USE"))))</f>
        <v/>
      </c>
      <c r="N20" s="7" t="n"/>
      <c r="O20" s="7" t="n"/>
    </row>
    <row r="21">
      <c r="B21" s="7" t="n"/>
      <c r="C21" s="7" t="n"/>
      <c r="D21" s="7" t="n"/>
      <c r="E21" s="7" t="n"/>
      <c r="F21" s="7" t="n"/>
      <c r="G21" s="7" t="n"/>
      <c r="H21" s="42" t="n"/>
      <c r="I21" s="5">
        <f>IF(H21="","",H21-TODAY())</f>
        <v/>
      </c>
      <c r="J21" s="42" t="n"/>
      <c r="K21" s="42" t="n"/>
      <c r="L21" s="5">
        <f>IF(K21="","",K21-TODAY())</f>
        <v/>
      </c>
      <c r="M21" s="5">
        <f>IF(H21="","",IF(OR(I21&lt;0,L21&lt;0),"QUARANTINE / EXPIRED",IF(OR(I21&lt;=Admin!$C$13,L21&lt;=Admin!$C$13),"CRITICAL ≤7d",IF(OR(I21&lt;=Admin!$C$12,L21&lt;=Admin!$C$12),"WARNING ≤30d","FIT FOR USE"))))</f>
        <v/>
      </c>
      <c r="N21" s="7" t="n"/>
      <c r="O21" s="7" t="n"/>
    </row>
    <row r="22">
      <c r="B22" s="7" t="n"/>
      <c r="C22" s="7" t="n"/>
      <c r="D22" s="7" t="n"/>
      <c r="E22" s="7" t="n"/>
      <c r="F22" s="7" t="n"/>
      <c r="G22" s="7" t="n"/>
      <c r="H22" s="42" t="n"/>
      <c r="I22" s="5">
        <f>IF(H22="","",H22-TODAY())</f>
        <v/>
      </c>
      <c r="J22" s="42" t="n"/>
      <c r="K22" s="42" t="n"/>
      <c r="L22" s="5">
        <f>IF(K22="","",K22-TODAY())</f>
        <v/>
      </c>
      <c r="M22" s="5">
        <f>IF(H22="","",IF(OR(I22&lt;0,L22&lt;0),"QUARANTINE / EXPIRED",IF(OR(I22&lt;=Admin!$C$13,L22&lt;=Admin!$C$13),"CRITICAL ≤7d",IF(OR(I22&lt;=Admin!$C$12,L22&lt;=Admin!$C$12),"WARNING ≤30d","FIT FOR USE"))))</f>
        <v/>
      </c>
      <c r="N22" s="7" t="n"/>
      <c r="O22" s="7" t="n"/>
    </row>
    <row r="23">
      <c r="B23" s="7" t="n"/>
      <c r="C23" s="7" t="n"/>
      <c r="D23" s="7" t="n"/>
      <c r="E23" s="7" t="n"/>
      <c r="F23" s="7" t="n"/>
      <c r="G23" s="7" t="n"/>
      <c r="H23" s="42" t="n"/>
      <c r="I23" s="5">
        <f>IF(H23="","",H23-TODAY())</f>
        <v/>
      </c>
      <c r="J23" s="42" t="n"/>
      <c r="K23" s="42" t="n"/>
      <c r="L23" s="5">
        <f>IF(K23="","",K23-TODAY())</f>
        <v/>
      </c>
      <c r="M23" s="5">
        <f>IF(H23="","",IF(OR(I23&lt;0,L23&lt;0),"QUARANTINE / EXPIRED",IF(OR(I23&lt;=Admin!$C$13,L23&lt;=Admin!$C$13),"CRITICAL ≤7d",IF(OR(I23&lt;=Admin!$C$12,L23&lt;=Admin!$C$12),"WARNING ≤30d","FIT FOR USE"))))</f>
        <v/>
      </c>
      <c r="N23" s="7" t="n"/>
      <c r="O23" s="7" t="n"/>
    </row>
    <row r="24">
      <c r="B24" s="7" t="n"/>
      <c r="C24" s="7" t="n"/>
      <c r="D24" s="7" t="n"/>
      <c r="E24" s="7" t="n"/>
      <c r="F24" s="7" t="n"/>
      <c r="G24" s="7" t="n"/>
      <c r="H24" s="42" t="n"/>
      <c r="I24" s="5">
        <f>IF(H24="","",H24-TODAY())</f>
        <v/>
      </c>
      <c r="J24" s="42" t="n"/>
      <c r="K24" s="42" t="n"/>
      <c r="L24" s="5">
        <f>IF(K24="","",K24-TODAY())</f>
        <v/>
      </c>
      <c r="M24" s="5">
        <f>IF(H24="","",IF(OR(I24&lt;0,L24&lt;0),"QUARANTINE / EXPIRED",IF(OR(I24&lt;=Admin!$C$13,L24&lt;=Admin!$C$13),"CRITICAL ≤7d",IF(OR(I24&lt;=Admin!$C$12,L24&lt;=Admin!$C$12),"WARNING ≤30d","FIT FOR USE"))))</f>
        <v/>
      </c>
      <c r="N24" s="7" t="n"/>
      <c r="O24" s="7" t="n"/>
    </row>
    <row r="25">
      <c r="B25" s="7" t="n"/>
      <c r="C25" s="7" t="n"/>
      <c r="D25" s="7" t="n"/>
      <c r="E25" s="7" t="n"/>
      <c r="F25" s="7" t="n"/>
      <c r="G25" s="7" t="n"/>
      <c r="H25" s="42" t="n"/>
      <c r="I25" s="5">
        <f>IF(H25="","",H25-TODAY())</f>
        <v/>
      </c>
      <c r="J25" s="42" t="n"/>
      <c r="K25" s="42" t="n"/>
      <c r="L25" s="5">
        <f>IF(K25="","",K25-TODAY())</f>
        <v/>
      </c>
      <c r="M25" s="5">
        <f>IF(H25="","",IF(OR(I25&lt;0,L25&lt;0),"QUARANTINE / EXPIRED",IF(OR(I25&lt;=Admin!$C$13,L25&lt;=Admin!$C$13),"CRITICAL ≤7d",IF(OR(I25&lt;=Admin!$C$12,L25&lt;=Admin!$C$12),"WARNING ≤30d","FIT FOR USE"))))</f>
        <v/>
      </c>
      <c r="N25" s="7" t="n"/>
      <c r="O25" s="7" t="n"/>
    </row>
    <row r="26">
      <c r="B26" s="7" t="n"/>
      <c r="C26" s="7" t="n"/>
      <c r="D26" s="7" t="n"/>
      <c r="E26" s="7" t="n"/>
      <c r="F26" s="7" t="n"/>
      <c r="G26" s="7" t="n"/>
      <c r="H26" s="42" t="n"/>
      <c r="I26" s="5">
        <f>IF(H26="","",H26-TODAY())</f>
        <v/>
      </c>
      <c r="J26" s="42" t="n"/>
      <c r="K26" s="42" t="n"/>
      <c r="L26" s="5">
        <f>IF(K26="","",K26-TODAY())</f>
        <v/>
      </c>
      <c r="M26" s="5">
        <f>IF(H26="","",IF(OR(I26&lt;0,L26&lt;0),"QUARANTINE / EXPIRED",IF(OR(I26&lt;=Admin!$C$13,L26&lt;=Admin!$C$13),"CRITICAL ≤7d",IF(OR(I26&lt;=Admin!$C$12,L26&lt;=Admin!$C$12),"WARNING ≤30d","FIT FOR USE"))))</f>
        <v/>
      </c>
      <c r="N26" s="7" t="n"/>
      <c r="O26" s="7" t="n"/>
    </row>
    <row r="27">
      <c r="B27" s="7" t="n"/>
      <c r="C27" s="7" t="n"/>
      <c r="D27" s="7" t="n"/>
      <c r="E27" s="7" t="n"/>
      <c r="F27" s="7" t="n"/>
      <c r="G27" s="7" t="n"/>
      <c r="H27" s="42" t="n"/>
      <c r="I27" s="5">
        <f>IF(H27="","",H27-TODAY())</f>
        <v/>
      </c>
      <c r="J27" s="42" t="n"/>
      <c r="K27" s="42" t="n"/>
      <c r="L27" s="5">
        <f>IF(K27="","",K27-TODAY())</f>
        <v/>
      </c>
      <c r="M27" s="5">
        <f>IF(H27="","",IF(OR(I27&lt;0,L27&lt;0),"QUARANTINE / EXPIRED",IF(OR(I27&lt;=Admin!$C$13,L27&lt;=Admin!$C$13),"CRITICAL ≤7d",IF(OR(I27&lt;=Admin!$C$12,L27&lt;=Admin!$C$12),"WARNING ≤30d","FIT FOR USE"))))</f>
        <v/>
      </c>
      <c r="N27" s="7" t="n"/>
      <c r="O27" s="7" t="n"/>
    </row>
    <row r="28">
      <c r="B28" s="7" t="n"/>
      <c r="C28" s="7" t="n"/>
      <c r="D28" s="7" t="n"/>
      <c r="E28" s="7" t="n"/>
      <c r="F28" s="7" t="n"/>
      <c r="G28" s="7" t="n"/>
      <c r="H28" s="42" t="n"/>
      <c r="I28" s="5">
        <f>IF(H28="","",H28-TODAY())</f>
        <v/>
      </c>
      <c r="J28" s="42" t="n"/>
      <c r="K28" s="42" t="n"/>
      <c r="L28" s="5">
        <f>IF(K28="","",K28-TODAY())</f>
        <v/>
      </c>
      <c r="M28" s="5">
        <f>IF(H28="","",IF(OR(I28&lt;0,L28&lt;0),"QUARANTINE / EXPIRED",IF(OR(I28&lt;=Admin!$C$13,L28&lt;=Admin!$C$13),"CRITICAL ≤7d",IF(OR(I28&lt;=Admin!$C$12,L28&lt;=Admin!$C$12),"WARNING ≤30d","FIT FOR USE"))))</f>
        <v/>
      </c>
      <c r="N28" s="7" t="n"/>
      <c r="O28" s="7" t="n"/>
    </row>
    <row r="29">
      <c r="B29" s="7" t="n"/>
      <c r="C29" s="7" t="n"/>
      <c r="D29" s="7" t="n"/>
      <c r="E29" s="7" t="n"/>
      <c r="F29" s="7" t="n"/>
      <c r="G29" s="7" t="n"/>
      <c r="H29" s="42" t="n"/>
      <c r="I29" s="5">
        <f>IF(H29="","",H29-TODAY())</f>
        <v/>
      </c>
      <c r="J29" s="42" t="n"/>
      <c r="K29" s="42" t="n"/>
      <c r="L29" s="5">
        <f>IF(K29="","",K29-TODAY())</f>
        <v/>
      </c>
      <c r="M29" s="5">
        <f>IF(H29="","",IF(OR(I29&lt;0,L29&lt;0),"QUARANTINE / EXPIRED",IF(OR(I29&lt;=Admin!$C$13,L29&lt;=Admin!$C$13),"CRITICAL ≤7d",IF(OR(I29&lt;=Admin!$C$12,L29&lt;=Admin!$C$12),"WARNING ≤30d","FIT FOR USE"))))</f>
        <v/>
      </c>
      <c r="N29" s="7" t="n"/>
      <c r="O29" s="7" t="n"/>
    </row>
    <row r="30">
      <c r="B30" s="7" t="n"/>
      <c r="C30" s="7" t="n"/>
      <c r="D30" s="7" t="n"/>
      <c r="E30" s="7" t="n"/>
      <c r="F30" s="7" t="n"/>
      <c r="G30" s="7" t="n"/>
      <c r="H30" s="42" t="n"/>
      <c r="I30" s="5">
        <f>IF(H30="","",H30-TODAY())</f>
        <v/>
      </c>
      <c r="J30" s="42" t="n"/>
      <c r="K30" s="42" t="n"/>
      <c r="L30" s="5">
        <f>IF(K30="","",K30-TODAY())</f>
        <v/>
      </c>
      <c r="M30" s="5">
        <f>IF(H30="","",IF(OR(I30&lt;0,L30&lt;0),"QUARANTINE / EXPIRED",IF(OR(I30&lt;=Admin!$C$13,L30&lt;=Admin!$C$13),"CRITICAL ≤7d",IF(OR(I30&lt;=Admin!$C$12,L30&lt;=Admin!$C$12),"WARNING ≤30d","FIT FOR USE"))))</f>
        <v/>
      </c>
      <c r="N30" s="7" t="n"/>
      <c r="O30" s="7" t="n"/>
    </row>
    <row r="31">
      <c r="B31" s="7" t="n"/>
      <c r="C31" s="7" t="n"/>
      <c r="D31" s="7" t="n"/>
      <c r="E31" s="7" t="n"/>
      <c r="F31" s="7" t="n"/>
      <c r="G31" s="7" t="n"/>
      <c r="H31" s="42" t="n"/>
      <c r="I31" s="5">
        <f>IF(H31="","",H31-TODAY())</f>
        <v/>
      </c>
      <c r="J31" s="42" t="n"/>
      <c r="K31" s="42" t="n"/>
      <c r="L31" s="5">
        <f>IF(K31="","",K31-TODAY())</f>
        <v/>
      </c>
      <c r="M31" s="5">
        <f>IF(H31="","",IF(OR(I31&lt;0,L31&lt;0),"QUARANTINE / EXPIRED",IF(OR(I31&lt;=Admin!$C$13,L31&lt;=Admin!$C$13),"CRITICAL ≤7d",IF(OR(I31&lt;=Admin!$C$12,L31&lt;=Admin!$C$12),"WARNING ≤30d","FIT FOR USE"))))</f>
        <v/>
      </c>
      <c r="N31" s="7" t="n"/>
      <c r="O31" s="7" t="n"/>
    </row>
    <row r="32">
      <c r="B32" s="7" t="n"/>
      <c r="C32" s="7" t="n"/>
      <c r="D32" s="7" t="n"/>
      <c r="E32" s="7" t="n"/>
      <c r="F32" s="7" t="n"/>
      <c r="G32" s="7" t="n"/>
      <c r="H32" s="42" t="n"/>
      <c r="I32" s="5">
        <f>IF(H32="","",H32-TODAY())</f>
        <v/>
      </c>
      <c r="J32" s="42" t="n"/>
      <c r="K32" s="42" t="n"/>
      <c r="L32" s="5">
        <f>IF(K32="","",K32-TODAY())</f>
        <v/>
      </c>
      <c r="M32" s="5">
        <f>IF(H32="","",IF(OR(I32&lt;0,L32&lt;0),"QUARANTINE / EXPIRED",IF(OR(I32&lt;=Admin!$C$13,L32&lt;=Admin!$C$13),"CRITICAL ≤7d",IF(OR(I32&lt;=Admin!$C$12,L32&lt;=Admin!$C$12),"WARNING ≤30d","FIT FOR USE"))))</f>
        <v/>
      </c>
      <c r="N32" s="7" t="n"/>
      <c r="O32" s="7" t="n"/>
    </row>
    <row r="33">
      <c r="B33" s="7" t="n"/>
      <c r="C33" s="7" t="n"/>
      <c r="D33" s="7" t="n"/>
      <c r="E33" s="7" t="n"/>
      <c r="F33" s="7" t="n"/>
      <c r="G33" s="7" t="n"/>
      <c r="H33" s="42" t="n"/>
      <c r="I33" s="5">
        <f>IF(H33="","",H33-TODAY())</f>
        <v/>
      </c>
      <c r="J33" s="42" t="n"/>
      <c r="K33" s="42" t="n"/>
      <c r="L33" s="5">
        <f>IF(K33="","",K33-TODAY())</f>
        <v/>
      </c>
      <c r="M33" s="5">
        <f>IF(H33="","",IF(OR(I33&lt;0,L33&lt;0),"QUARANTINE / EXPIRED",IF(OR(I33&lt;=Admin!$C$13,L33&lt;=Admin!$C$13),"CRITICAL ≤7d",IF(OR(I33&lt;=Admin!$C$12,L33&lt;=Admin!$C$12),"WARNING ≤30d","FIT FOR USE"))))</f>
        <v/>
      </c>
      <c r="N33" s="7" t="n"/>
      <c r="O33" s="7" t="n"/>
    </row>
    <row r="34">
      <c r="B34" s="7" t="n"/>
      <c r="C34" s="7" t="n"/>
      <c r="D34" s="7" t="n"/>
      <c r="E34" s="7" t="n"/>
      <c r="F34" s="7" t="n"/>
      <c r="G34" s="7" t="n"/>
      <c r="H34" s="42" t="n"/>
      <c r="I34" s="5">
        <f>IF(H34="","",H34-TODAY())</f>
        <v/>
      </c>
      <c r="J34" s="42" t="n"/>
      <c r="K34" s="42" t="n"/>
      <c r="L34" s="5">
        <f>IF(K34="","",K34-TODAY())</f>
        <v/>
      </c>
      <c r="M34" s="5">
        <f>IF(H34="","",IF(OR(I34&lt;0,L34&lt;0),"QUARANTINE / EXPIRED",IF(OR(I34&lt;=Admin!$C$13,L34&lt;=Admin!$C$13),"CRITICAL ≤7d",IF(OR(I34&lt;=Admin!$C$12,L34&lt;=Admin!$C$12),"WARNING ≤30d","FIT FOR USE"))))</f>
        <v/>
      </c>
      <c r="N34" s="7" t="n"/>
      <c r="O34" s="7" t="n"/>
    </row>
    <row r="35">
      <c r="B35" s="7" t="n"/>
      <c r="C35" s="7" t="n"/>
      <c r="D35" s="7" t="n"/>
      <c r="E35" s="7" t="n"/>
      <c r="F35" s="7" t="n"/>
      <c r="G35" s="7" t="n"/>
      <c r="H35" s="42" t="n"/>
      <c r="I35" s="5">
        <f>IF(H35="","",H35-TODAY())</f>
        <v/>
      </c>
      <c r="J35" s="42" t="n"/>
      <c r="K35" s="42" t="n"/>
      <c r="L35" s="5">
        <f>IF(K35="","",K35-TODAY())</f>
        <v/>
      </c>
      <c r="M35" s="5">
        <f>IF(H35="","",IF(OR(I35&lt;0,L35&lt;0),"QUARANTINE / EXPIRED",IF(OR(I35&lt;=Admin!$C$13,L35&lt;=Admin!$C$13),"CRITICAL ≤7d",IF(OR(I35&lt;=Admin!$C$12,L35&lt;=Admin!$C$12),"WARNING ≤30d","FIT FOR USE"))))</f>
        <v/>
      </c>
      <c r="N35" s="7" t="n"/>
      <c r="O35" s="7" t="n"/>
    </row>
    <row r="36">
      <c r="B36" s="7" t="n"/>
      <c r="C36" s="7" t="n"/>
      <c r="D36" s="7" t="n"/>
      <c r="E36" s="7" t="n"/>
      <c r="F36" s="7" t="n"/>
      <c r="G36" s="7" t="n"/>
      <c r="H36" s="42" t="n"/>
      <c r="I36" s="5">
        <f>IF(H36="","",H36-TODAY())</f>
        <v/>
      </c>
      <c r="J36" s="42" t="n"/>
      <c r="K36" s="42" t="n"/>
      <c r="L36" s="5">
        <f>IF(K36="","",K36-TODAY())</f>
        <v/>
      </c>
      <c r="M36" s="5">
        <f>IF(H36="","",IF(OR(I36&lt;0,L36&lt;0),"QUARANTINE / EXPIRED",IF(OR(I36&lt;=Admin!$C$13,L36&lt;=Admin!$C$13),"CRITICAL ≤7d",IF(OR(I36&lt;=Admin!$C$12,L36&lt;=Admin!$C$12),"WARNING ≤30d","FIT FOR USE"))))</f>
        <v/>
      </c>
      <c r="N36" s="7" t="n"/>
      <c r="O36" s="7" t="n"/>
    </row>
    <row r="37">
      <c r="B37" s="7" t="n"/>
      <c r="C37" s="7" t="n"/>
      <c r="D37" s="7" t="n"/>
      <c r="E37" s="7" t="n"/>
      <c r="F37" s="7" t="n"/>
      <c r="G37" s="7" t="n"/>
      <c r="H37" s="42" t="n"/>
      <c r="I37" s="5">
        <f>IF(H37="","",H37-TODAY())</f>
        <v/>
      </c>
      <c r="J37" s="42" t="n"/>
      <c r="K37" s="42" t="n"/>
      <c r="L37" s="5">
        <f>IF(K37="","",K37-TODAY())</f>
        <v/>
      </c>
      <c r="M37" s="5">
        <f>IF(H37="","",IF(OR(I37&lt;0,L37&lt;0),"QUARANTINE / EXPIRED",IF(OR(I37&lt;=Admin!$C$13,L37&lt;=Admin!$C$13),"CRITICAL ≤7d",IF(OR(I37&lt;=Admin!$C$12,L37&lt;=Admin!$C$12),"WARNING ≤30d","FIT FOR USE"))))</f>
        <v/>
      </c>
      <c r="N37" s="7" t="n"/>
      <c r="O37" s="7" t="n"/>
    </row>
    <row r="38">
      <c r="B38" s="7" t="n"/>
      <c r="C38" s="7" t="n"/>
      <c r="D38" s="7" t="n"/>
      <c r="E38" s="7" t="n"/>
      <c r="F38" s="7" t="n"/>
      <c r="G38" s="7" t="n"/>
      <c r="H38" s="42" t="n"/>
      <c r="I38" s="5">
        <f>IF(H38="","",H38-TODAY())</f>
        <v/>
      </c>
      <c r="J38" s="42" t="n"/>
      <c r="K38" s="42" t="n"/>
      <c r="L38" s="5">
        <f>IF(K38="","",K38-TODAY())</f>
        <v/>
      </c>
      <c r="M38" s="5">
        <f>IF(H38="","",IF(OR(I38&lt;0,L38&lt;0),"QUARANTINE / EXPIRED",IF(OR(I38&lt;=Admin!$C$13,L38&lt;=Admin!$C$13),"CRITICAL ≤7d",IF(OR(I38&lt;=Admin!$C$12,L38&lt;=Admin!$C$12),"WARNING ≤30d","FIT FOR USE"))))</f>
        <v/>
      </c>
      <c r="N38" s="7" t="n"/>
      <c r="O38" s="7" t="n"/>
    </row>
    <row r="39">
      <c r="B39" s="7" t="n"/>
      <c r="C39" s="7" t="n"/>
      <c r="D39" s="7" t="n"/>
      <c r="E39" s="7" t="n"/>
      <c r="F39" s="7" t="n"/>
      <c r="G39" s="7" t="n"/>
      <c r="H39" s="42" t="n"/>
      <c r="I39" s="5">
        <f>IF(H39="","",H39-TODAY())</f>
        <v/>
      </c>
      <c r="J39" s="42" t="n"/>
      <c r="K39" s="42" t="n"/>
      <c r="L39" s="5">
        <f>IF(K39="","",K39-TODAY())</f>
        <v/>
      </c>
      <c r="M39" s="5">
        <f>IF(H39="","",IF(OR(I39&lt;0,L39&lt;0),"QUARANTINE / EXPIRED",IF(OR(I39&lt;=Admin!$C$13,L39&lt;=Admin!$C$13),"CRITICAL ≤7d",IF(OR(I39&lt;=Admin!$C$12,L39&lt;=Admin!$C$12),"WARNING ≤30d","FIT FOR USE"))))</f>
        <v/>
      </c>
      <c r="N39" s="7" t="n"/>
      <c r="O39" s="7" t="n"/>
    </row>
    <row r="40">
      <c r="B40" s="7" t="n"/>
      <c r="C40" s="7" t="n"/>
      <c r="D40" s="7" t="n"/>
      <c r="E40" s="7" t="n"/>
      <c r="F40" s="7" t="n"/>
      <c r="G40" s="7" t="n"/>
      <c r="H40" s="42" t="n"/>
      <c r="I40" s="5">
        <f>IF(H40="","",H40-TODAY())</f>
        <v/>
      </c>
      <c r="J40" s="42" t="n"/>
      <c r="K40" s="42" t="n"/>
      <c r="L40" s="5">
        <f>IF(K40="","",K40-TODAY())</f>
        <v/>
      </c>
      <c r="M40" s="5">
        <f>IF(H40="","",IF(OR(I40&lt;0,L40&lt;0),"QUARANTINE / EXPIRED",IF(OR(I40&lt;=Admin!$C$13,L40&lt;=Admin!$C$13),"CRITICAL ≤7d",IF(OR(I40&lt;=Admin!$C$12,L40&lt;=Admin!$C$12),"WARNING ≤30d","FIT FOR USE"))))</f>
        <v/>
      </c>
      <c r="N40" s="7" t="n"/>
      <c r="O40" s="7" t="n"/>
    </row>
    <row r="41">
      <c r="B41" s="7" t="n"/>
      <c r="C41" s="7" t="n"/>
      <c r="D41" s="7" t="n"/>
      <c r="E41" s="7" t="n"/>
      <c r="F41" s="7" t="n"/>
      <c r="G41" s="7" t="n"/>
      <c r="H41" s="42" t="n"/>
      <c r="I41" s="5">
        <f>IF(H41="","",H41-TODAY())</f>
        <v/>
      </c>
      <c r="J41" s="42" t="n"/>
      <c r="K41" s="42" t="n"/>
      <c r="L41" s="5">
        <f>IF(K41="","",K41-TODAY())</f>
        <v/>
      </c>
      <c r="M41" s="5">
        <f>IF(H41="","",IF(OR(I41&lt;0,L41&lt;0),"QUARANTINE / EXPIRED",IF(OR(I41&lt;=Admin!$C$13,L41&lt;=Admin!$C$13),"CRITICAL ≤7d",IF(OR(I41&lt;=Admin!$C$12,L41&lt;=Admin!$C$12),"WARNING ≤30d","FIT FOR USE"))))</f>
        <v/>
      </c>
      <c r="N41" s="7" t="n"/>
      <c r="O41" s="7" t="n"/>
    </row>
    <row r="42">
      <c r="B42" s="7" t="n"/>
      <c r="C42" s="7" t="n"/>
      <c r="D42" s="7" t="n"/>
      <c r="E42" s="7" t="n"/>
      <c r="F42" s="7" t="n"/>
      <c r="G42" s="7" t="n"/>
      <c r="H42" s="42" t="n"/>
      <c r="I42" s="5">
        <f>IF(H42="","",H42-TODAY())</f>
        <v/>
      </c>
      <c r="J42" s="42" t="n"/>
      <c r="K42" s="42" t="n"/>
      <c r="L42" s="5">
        <f>IF(K42="","",K42-TODAY())</f>
        <v/>
      </c>
      <c r="M42" s="5">
        <f>IF(H42="","",IF(OR(I42&lt;0,L42&lt;0),"QUARANTINE / EXPIRED",IF(OR(I42&lt;=Admin!$C$13,L42&lt;=Admin!$C$13),"CRITICAL ≤7d",IF(OR(I42&lt;=Admin!$C$12,L42&lt;=Admin!$C$12),"WARNING ≤30d","FIT FOR USE"))))</f>
        <v/>
      </c>
      <c r="N42" s="7" t="n"/>
      <c r="O42" s="7" t="n"/>
    </row>
    <row r="43">
      <c r="B43" s="7" t="n"/>
      <c r="C43" s="7" t="n"/>
      <c r="D43" s="7" t="n"/>
      <c r="E43" s="7" t="n"/>
      <c r="F43" s="7" t="n"/>
      <c r="G43" s="7" t="n"/>
      <c r="H43" s="42" t="n"/>
      <c r="I43" s="5">
        <f>IF(H43="","",H43-TODAY())</f>
        <v/>
      </c>
      <c r="J43" s="42" t="n"/>
      <c r="K43" s="42" t="n"/>
      <c r="L43" s="5">
        <f>IF(K43="","",K43-TODAY())</f>
        <v/>
      </c>
      <c r="M43" s="5">
        <f>IF(H43="","",IF(OR(I43&lt;0,L43&lt;0),"QUARANTINE / EXPIRED",IF(OR(I43&lt;=Admin!$C$13,L43&lt;=Admin!$C$13),"CRITICAL ≤7d",IF(OR(I43&lt;=Admin!$C$12,L43&lt;=Admin!$C$12),"WARNING ≤30d","FIT FOR USE"))))</f>
        <v/>
      </c>
      <c r="N43" s="7" t="n"/>
      <c r="O43" s="7" t="n"/>
    </row>
    <row r="44">
      <c r="B44" s="7" t="n"/>
      <c r="C44" s="7" t="n"/>
      <c r="D44" s="7" t="n"/>
      <c r="E44" s="7" t="n"/>
      <c r="F44" s="7" t="n"/>
      <c r="G44" s="7" t="n"/>
      <c r="H44" s="42" t="n"/>
      <c r="I44" s="5">
        <f>IF(H44="","",H44-TODAY())</f>
        <v/>
      </c>
      <c r="J44" s="42" t="n"/>
      <c r="K44" s="42" t="n"/>
      <c r="L44" s="5">
        <f>IF(K44="","",K44-TODAY())</f>
        <v/>
      </c>
      <c r="M44" s="5">
        <f>IF(H44="","",IF(OR(I44&lt;0,L44&lt;0),"QUARANTINE / EXPIRED",IF(OR(I44&lt;=Admin!$C$13,L44&lt;=Admin!$C$13),"CRITICAL ≤7d",IF(OR(I44&lt;=Admin!$C$12,L44&lt;=Admin!$C$12),"WARNING ≤30d","FIT FOR USE"))))</f>
        <v/>
      </c>
      <c r="N44" s="7" t="n"/>
      <c r="O44" s="7" t="n"/>
    </row>
    <row r="45">
      <c r="B45" s="7" t="n"/>
      <c r="C45" s="7" t="n"/>
      <c r="D45" s="7" t="n"/>
      <c r="E45" s="7" t="n"/>
      <c r="F45" s="7" t="n"/>
      <c r="G45" s="7" t="n"/>
      <c r="H45" s="42" t="n"/>
      <c r="I45" s="5">
        <f>IF(H45="","",H45-TODAY())</f>
        <v/>
      </c>
      <c r="J45" s="42" t="n"/>
      <c r="K45" s="42" t="n"/>
      <c r="L45" s="5">
        <f>IF(K45="","",K45-TODAY())</f>
        <v/>
      </c>
      <c r="M45" s="5">
        <f>IF(H45="","",IF(OR(I45&lt;0,L45&lt;0),"QUARANTINE / EXPIRED",IF(OR(I45&lt;=Admin!$C$13,L45&lt;=Admin!$C$13),"CRITICAL ≤7d",IF(OR(I45&lt;=Admin!$C$12,L45&lt;=Admin!$C$12),"WARNING ≤30d","FIT FOR USE"))))</f>
        <v/>
      </c>
      <c r="N45" s="7" t="n"/>
      <c r="O45" s="7" t="n"/>
    </row>
    <row r="46">
      <c r="B46" s="7" t="n"/>
      <c r="C46" s="7" t="n"/>
      <c r="D46" s="7" t="n"/>
      <c r="E46" s="7" t="n"/>
      <c r="F46" s="7" t="n"/>
      <c r="G46" s="7" t="n"/>
      <c r="H46" s="42" t="n"/>
      <c r="I46" s="5">
        <f>IF(H46="","",H46-TODAY())</f>
        <v/>
      </c>
      <c r="J46" s="42" t="n"/>
      <c r="K46" s="42" t="n"/>
      <c r="L46" s="5">
        <f>IF(K46="","",K46-TODAY())</f>
        <v/>
      </c>
      <c r="M46" s="5">
        <f>IF(H46="","",IF(OR(I46&lt;0,L46&lt;0),"QUARANTINE / EXPIRED",IF(OR(I46&lt;=Admin!$C$13,L46&lt;=Admin!$C$13),"CRITICAL ≤7d",IF(OR(I46&lt;=Admin!$C$12,L46&lt;=Admin!$C$12),"WARNING ≤30d","FIT FOR USE"))))</f>
        <v/>
      </c>
      <c r="N46" s="7" t="n"/>
      <c r="O46" s="7" t="n"/>
    </row>
    <row r="47">
      <c r="B47" s="7" t="n"/>
      <c r="C47" s="7" t="n"/>
      <c r="D47" s="7" t="n"/>
      <c r="E47" s="7" t="n"/>
      <c r="F47" s="7" t="n"/>
      <c r="G47" s="7" t="n"/>
      <c r="H47" s="42" t="n"/>
      <c r="I47" s="5">
        <f>IF(H47="","",H47-TODAY())</f>
        <v/>
      </c>
      <c r="J47" s="42" t="n"/>
      <c r="K47" s="42" t="n"/>
      <c r="L47" s="5">
        <f>IF(K47="","",K47-TODAY())</f>
        <v/>
      </c>
      <c r="M47" s="5">
        <f>IF(H47="","",IF(OR(I47&lt;0,L47&lt;0),"QUARANTINE / EXPIRED",IF(OR(I47&lt;=Admin!$C$13,L47&lt;=Admin!$C$13),"CRITICAL ≤7d",IF(OR(I47&lt;=Admin!$C$12,L47&lt;=Admin!$C$12),"WARNING ≤30d","FIT FOR USE"))))</f>
        <v/>
      </c>
      <c r="N47" s="7" t="n"/>
      <c r="O47" s="7" t="n"/>
    </row>
    <row r="48">
      <c r="B48" s="7" t="n"/>
      <c r="C48" s="7" t="n"/>
      <c r="D48" s="7" t="n"/>
      <c r="E48" s="7" t="n"/>
      <c r="F48" s="7" t="n"/>
      <c r="G48" s="7" t="n"/>
      <c r="H48" s="42" t="n"/>
      <c r="I48" s="5">
        <f>IF(H48="","",H48-TODAY())</f>
        <v/>
      </c>
      <c r="J48" s="42" t="n"/>
      <c r="K48" s="42" t="n"/>
      <c r="L48" s="5">
        <f>IF(K48="","",K48-TODAY())</f>
        <v/>
      </c>
      <c r="M48" s="5">
        <f>IF(H48="","",IF(OR(I48&lt;0,L48&lt;0),"QUARANTINE / EXPIRED",IF(OR(I48&lt;=Admin!$C$13,L48&lt;=Admin!$C$13),"CRITICAL ≤7d",IF(OR(I48&lt;=Admin!$C$12,L48&lt;=Admin!$C$12),"WARNING ≤30d","FIT FOR USE"))))</f>
        <v/>
      </c>
      <c r="N48" s="7" t="n"/>
      <c r="O48" s="7" t="n"/>
    </row>
    <row r="49">
      <c r="B49" s="7" t="n"/>
      <c r="C49" s="7" t="n"/>
      <c r="D49" s="7" t="n"/>
      <c r="E49" s="7" t="n"/>
      <c r="F49" s="7" t="n"/>
      <c r="G49" s="7" t="n"/>
      <c r="H49" s="42" t="n"/>
      <c r="I49" s="5">
        <f>IF(H49="","",H49-TODAY())</f>
        <v/>
      </c>
      <c r="J49" s="42" t="n"/>
      <c r="K49" s="42" t="n"/>
      <c r="L49" s="5">
        <f>IF(K49="","",K49-TODAY())</f>
        <v/>
      </c>
      <c r="M49" s="5">
        <f>IF(H49="","",IF(OR(I49&lt;0,L49&lt;0),"QUARANTINE / EXPIRED",IF(OR(I49&lt;=Admin!$C$13,L49&lt;=Admin!$C$13),"CRITICAL ≤7d",IF(OR(I49&lt;=Admin!$C$12,L49&lt;=Admin!$C$12),"WARNING ≤30d","FIT FOR USE"))))</f>
        <v/>
      </c>
      <c r="N49" s="7" t="n"/>
      <c r="O49" s="7" t="n"/>
    </row>
    <row r="50">
      <c r="B50" s="7" t="n"/>
      <c r="C50" s="7" t="n"/>
      <c r="D50" s="7" t="n"/>
      <c r="E50" s="7" t="n"/>
      <c r="F50" s="7" t="n"/>
      <c r="G50" s="7" t="n"/>
      <c r="H50" s="42" t="n"/>
      <c r="I50" s="5">
        <f>IF(H50="","",H50-TODAY())</f>
        <v/>
      </c>
      <c r="J50" s="42" t="n"/>
      <c r="K50" s="42" t="n"/>
      <c r="L50" s="5">
        <f>IF(K50="","",K50-TODAY())</f>
        <v/>
      </c>
      <c r="M50" s="5">
        <f>IF(H50="","",IF(OR(I50&lt;0,L50&lt;0),"QUARANTINE / EXPIRED",IF(OR(I50&lt;=Admin!$C$13,L50&lt;=Admin!$C$13),"CRITICAL ≤7d",IF(OR(I50&lt;=Admin!$C$12,L50&lt;=Admin!$C$12),"WARNING ≤30d","FIT FOR USE"))))</f>
        <v/>
      </c>
      <c r="N50" s="7" t="n"/>
      <c r="O50" s="7" t="n"/>
    </row>
    <row r="51">
      <c r="B51" s="7" t="n"/>
      <c r="C51" s="7" t="n"/>
      <c r="D51" s="7" t="n"/>
      <c r="E51" s="7" t="n"/>
      <c r="F51" s="7" t="n"/>
      <c r="G51" s="7" t="n"/>
      <c r="H51" s="42" t="n"/>
      <c r="I51" s="5">
        <f>IF(H51="","",H51-TODAY())</f>
        <v/>
      </c>
      <c r="J51" s="42" t="n"/>
      <c r="K51" s="42" t="n"/>
      <c r="L51" s="5">
        <f>IF(K51="","",K51-TODAY())</f>
        <v/>
      </c>
      <c r="M51" s="5">
        <f>IF(H51="","",IF(OR(I51&lt;0,L51&lt;0),"QUARANTINE / EXPIRED",IF(OR(I51&lt;=Admin!$C$13,L51&lt;=Admin!$C$13),"CRITICAL ≤7d",IF(OR(I51&lt;=Admin!$C$12,L51&lt;=Admin!$C$12),"WARNING ≤30d","FIT FOR USE"))))</f>
        <v/>
      </c>
      <c r="N51" s="7" t="n"/>
      <c r="O51" s="7" t="n"/>
    </row>
    <row r="52">
      <c r="B52" s="7" t="n"/>
      <c r="C52" s="7" t="n"/>
      <c r="D52" s="7" t="n"/>
      <c r="E52" s="7" t="n"/>
      <c r="F52" s="7" t="n"/>
      <c r="G52" s="7" t="n"/>
      <c r="H52" s="42" t="n"/>
      <c r="I52" s="5">
        <f>IF(H52="","",H52-TODAY())</f>
        <v/>
      </c>
      <c r="J52" s="42" t="n"/>
      <c r="K52" s="42" t="n"/>
      <c r="L52" s="5">
        <f>IF(K52="","",K52-TODAY())</f>
        <v/>
      </c>
      <c r="M52" s="5">
        <f>IF(H52="","",IF(OR(I52&lt;0,L52&lt;0),"QUARANTINE / EXPIRED",IF(OR(I52&lt;=Admin!$C$13,L52&lt;=Admin!$C$13),"CRITICAL ≤7d",IF(OR(I52&lt;=Admin!$C$12,L52&lt;=Admin!$C$12),"WARNING ≤30d","FIT FOR USE"))))</f>
        <v/>
      </c>
      <c r="N52" s="7" t="n"/>
      <c r="O52" s="7" t="n"/>
    </row>
    <row r="53">
      <c r="B53" s="7" t="n"/>
      <c r="C53" s="7" t="n"/>
      <c r="D53" s="7" t="n"/>
      <c r="E53" s="7" t="n"/>
      <c r="F53" s="7" t="n"/>
      <c r="G53" s="7" t="n"/>
      <c r="H53" s="42" t="n"/>
      <c r="I53" s="5">
        <f>IF(H53="","",H53-TODAY())</f>
        <v/>
      </c>
      <c r="J53" s="42" t="n"/>
      <c r="K53" s="42" t="n"/>
      <c r="L53" s="5">
        <f>IF(K53="","",K53-TODAY())</f>
        <v/>
      </c>
      <c r="M53" s="5">
        <f>IF(H53="","",IF(OR(I53&lt;0,L53&lt;0),"QUARANTINE / EXPIRED",IF(OR(I53&lt;=Admin!$C$13,L53&lt;=Admin!$C$13),"CRITICAL ≤7d",IF(OR(I53&lt;=Admin!$C$12,L53&lt;=Admin!$C$12),"WARNING ≤30d","FIT FOR USE"))))</f>
        <v/>
      </c>
      <c r="N53" s="7" t="n"/>
      <c r="O53" s="7" t="n"/>
    </row>
    <row r="54">
      <c r="B54" s="7" t="n"/>
      <c r="C54" s="7" t="n"/>
      <c r="D54" s="7" t="n"/>
      <c r="E54" s="7" t="n"/>
      <c r="F54" s="7" t="n"/>
      <c r="G54" s="7" t="n"/>
      <c r="H54" s="42" t="n"/>
      <c r="I54" s="5">
        <f>IF(H54="","",H54-TODAY())</f>
        <v/>
      </c>
      <c r="J54" s="42" t="n"/>
      <c r="K54" s="42" t="n"/>
      <c r="L54" s="5">
        <f>IF(K54="","",K54-TODAY())</f>
        <v/>
      </c>
      <c r="M54" s="5">
        <f>IF(H54="","",IF(OR(I54&lt;0,L54&lt;0),"QUARANTINE / EXPIRED",IF(OR(I54&lt;=Admin!$C$13,L54&lt;=Admin!$C$13),"CRITICAL ≤7d",IF(OR(I54&lt;=Admin!$C$12,L54&lt;=Admin!$C$12),"WARNING ≤30d","FIT FOR USE"))))</f>
        <v/>
      </c>
      <c r="N54" s="7" t="n"/>
      <c r="O54" s="7" t="n"/>
    </row>
    <row r="55">
      <c r="B55" s="7" t="n"/>
      <c r="C55" s="7" t="n"/>
      <c r="D55" s="7" t="n"/>
      <c r="E55" s="7" t="n"/>
      <c r="F55" s="7" t="n"/>
      <c r="G55" s="7" t="n"/>
      <c r="H55" s="42" t="n"/>
      <c r="I55" s="5">
        <f>IF(H55="","",H55-TODAY())</f>
        <v/>
      </c>
      <c r="J55" s="42" t="n"/>
      <c r="K55" s="42" t="n"/>
      <c r="L55" s="5">
        <f>IF(K55="","",K55-TODAY())</f>
        <v/>
      </c>
      <c r="M55" s="5">
        <f>IF(H55="","",IF(OR(I55&lt;0,L55&lt;0),"QUARANTINE / EXPIRED",IF(OR(I55&lt;=Admin!$C$13,L55&lt;=Admin!$C$13),"CRITICAL ≤7d",IF(OR(I55&lt;=Admin!$C$12,L55&lt;=Admin!$C$12),"WARNING ≤30d","FIT FOR USE"))))</f>
        <v/>
      </c>
      <c r="N55" s="7" t="n"/>
      <c r="O55" s="7" t="n"/>
    </row>
    <row r="56">
      <c r="B56" s="7" t="n"/>
      <c r="C56" s="7" t="n"/>
      <c r="D56" s="7" t="n"/>
      <c r="E56" s="7" t="n"/>
      <c r="F56" s="7" t="n"/>
      <c r="G56" s="7" t="n"/>
      <c r="H56" s="42" t="n"/>
      <c r="I56" s="5">
        <f>IF(H56="","",H56-TODAY())</f>
        <v/>
      </c>
      <c r="J56" s="42" t="n"/>
      <c r="K56" s="42" t="n"/>
      <c r="L56" s="5">
        <f>IF(K56="","",K56-TODAY())</f>
        <v/>
      </c>
      <c r="M56" s="5">
        <f>IF(H56="","",IF(OR(I56&lt;0,L56&lt;0),"QUARANTINE / EXPIRED",IF(OR(I56&lt;=Admin!$C$13,L56&lt;=Admin!$C$13),"CRITICAL ≤7d",IF(OR(I56&lt;=Admin!$C$12,L56&lt;=Admin!$C$12),"WARNING ≤30d","FIT FOR USE"))))</f>
        <v/>
      </c>
      <c r="N56" s="7" t="n"/>
      <c r="O56" s="7" t="n"/>
    </row>
    <row r="57">
      <c r="B57" s="7" t="n"/>
      <c r="C57" s="7" t="n"/>
      <c r="D57" s="7" t="n"/>
      <c r="E57" s="7" t="n"/>
      <c r="F57" s="7" t="n"/>
      <c r="G57" s="7" t="n"/>
      <c r="H57" s="42" t="n"/>
      <c r="I57" s="5">
        <f>IF(H57="","",H57-TODAY())</f>
        <v/>
      </c>
      <c r="J57" s="42" t="n"/>
      <c r="K57" s="42" t="n"/>
      <c r="L57" s="5">
        <f>IF(K57="","",K57-TODAY())</f>
        <v/>
      </c>
      <c r="M57" s="5">
        <f>IF(H57="","",IF(OR(I57&lt;0,L57&lt;0),"QUARANTINE / EXPIRED",IF(OR(I57&lt;=Admin!$C$13,L57&lt;=Admin!$C$13),"CRITICAL ≤7d",IF(OR(I57&lt;=Admin!$C$12,L57&lt;=Admin!$C$12),"WARNING ≤30d","FIT FOR USE"))))</f>
        <v/>
      </c>
      <c r="N57" s="7" t="n"/>
      <c r="O57" s="7" t="n"/>
    </row>
    <row r="58">
      <c r="B58" s="7" t="n"/>
      <c r="C58" s="7" t="n"/>
      <c r="D58" s="7" t="n"/>
      <c r="E58" s="7" t="n"/>
      <c r="F58" s="7" t="n"/>
      <c r="G58" s="7" t="n"/>
      <c r="H58" s="42" t="n"/>
      <c r="I58" s="5">
        <f>IF(H58="","",H58-TODAY())</f>
        <v/>
      </c>
      <c r="J58" s="42" t="n"/>
      <c r="K58" s="42" t="n"/>
      <c r="L58" s="5">
        <f>IF(K58="","",K58-TODAY())</f>
        <v/>
      </c>
      <c r="M58" s="5">
        <f>IF(H58="","",IF(OR(I58&lt;0,L58&lt;0),"QUARANTINE / EXPIRED",IF(OR(I58&lt;=Admin!$C$13,L58&lt;=Admin!$C$13),"CRITICAL ≤7d",IF(OR(I58&lt;=Admin!$C$12,L58&lt;=Admin!$C$12),"WARNING ≤30d","FIT FOR USE"))))</f>
        <v/>
      </c>
      <c r="N58" s="7" t="n"/>
      <c r="O58" s="7" t="n"/>
    </row>
    <row r="59">
      <c r="B59" s="7" t="n"/>
      <c r="C59" s="7" t="n"/>
      <c r="D59" s="7" t="n"/>
      <c r="E59" s="7" t="n"/>
      <c r="F59" s="7" t="n"/>
      <c r="G59" s="7" t="n"/>
      <c r="H59" s="42" t="n"/>
      <c r="I59" s="5">
        <f>IF(H59="","",H59-TODAY())</f>
        <v/>
      </c>
      <c r="J59" s="42" t="n"/>
      <c r="K59" s="42" t="n"/>
      <c r="L59" s="5">
        <f>IF(K59="","",K59-TODAY())</f>
        <v/>
      </c>
      <c r="M59" s="5">
        <f>IF(H59="","",IF(OR(I59&lt;0,L59&lt;0),"QUARANTINE / EXPIRED",IF(OR(I59&lt;=Admin!$C$13,L59&lt;=Admin!$C$13),"CRITICAL ≤7d",IF(OR(I59&lt;=Admin!$C$12,L59&lt;=Admin!$C$12),"WARNING ≤30d","FIT FOR USE"))))</f>
        <v/>
      </c>
      <c r="N59" s="7" t="n"/>
      <c r="O59" s="7" t="n"/>
    </row>
  </sheetData>
  <mergeCells count="2">
    <mergeCell ref="A1:O1"/>
    <mergeCell ref="A2:O2"/>
  </mergeCells>
  <conditionalFormatting sqref="M5:M60">
    <cfRule type="expression" priority="1" dxfId="1">
      <formula>$M5="FIT FOR USE"</formula>
    </cfRule>
    <cfRule type="expression" priority="2" dxfId="3">
      <formula>$M5="WARNING ≤30d"</formula>
    </cfRule>
    <cfRule type="expression" priority="3" dxfId="0">
      <formula>OR($M5="QUARANTINE / EXPIRED",$M5="CRITICAL ≤7d")</formula>
    </cfRule>
  </conditionalFormatting>
  <dataValidations count="2">
    <dataValidation sqref="C5:C60" showDropDown="0" showInputMessage="0" showErrorMessage="0" allowBlank="1" type="list">
      <formula1>=Lookups!$H$5:$H$16</formula1>
    </dataValidation>
    <dataValidation sqref="E5:E60" showDropDown="0" showInputMessage="0" showErrorMessage="0" allowBlank="1" type="list">
      <formula1>=Lookups!$E$5:$E$12</formula1>
    </dataValidation>
  </dataValidations>
  <pageMargins left="0.75" right="0.75" top="1" bottom="1" header="0.5" footer="0.5"/>
  <pageSetup orientation="landscape" paperSize="9" fitToHeight="0" fitToWidth="1"/>
  <headerFooter>
    <oddHeader>&amp;LKAZ PP Expansion | EHS</oddHeader>
    <oddFooter>&amp;RConfidential | 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34495E"/>
    <outlinePr summaryBelow="1" summaryRight="1"/>
    <pageSetUpPr fitToPage="1"/>
  </sheetPr>
  <dimension ref="A1:K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8" customWidth="1" min="3" max="3"/>
    <col width="18" customWidth="1" min="4" max="4"/>
    <col width="18" customWidth="1" min="5" max="5"/>
    <col width="16" customWidth="1" min="6" max="6"/>
    <col width="45" customWidth="1" min="7" max="7"/>
    <col width="16" customWidth="1" min="8" max="8"/>
    <col width="18" customWidth="1" min="9" max="9"/>
    <col width="22" customWidth="1" min="10" max="10"/>
    <col width="18" customWidth="1" min="11" max="11"/>
  </cols>
  <sheetData>
    <row r="1" ht="32" customHeight="1">
      <c r="A1" s="1" t="inlineStr">
        <is>
          <t>10  |  DOCUMENT &amp; CV HUB</t>
        </is>
      </c>
    </row>
    <row r="2" ht="20" customHeight="1">
      <c r="A2" s="2" t="inlineStr">
        <is>
          <t>Hyperlink path or SharePoint/OneDrive URL in column G. EHS staff CVs, HSE Plan, Security Plan, PTW Manual.</t>
        </is>
      </c>
    </row>
    <row r="4">
      <c r="B4" s="9" t="inlineStr">
        <is>
          <t>DOC-ID</t>
        </is>
      </c>
      <c r="C4" s="9" t="inlineStr">
        <is>
          <t>Category</t>
        </is>
      </c>
      <c r="D4" s="9" t="inlineStr">
        <is>
          <t>Title / Name</t>
        </is>
      </c>
      <c r="E4" s="9" t="inlineStr">
        <is>
          <t>Owner</t>
        </is>
      </c>
      <c r="F4" s="9" t="inlineStr">
        <is>
          <t>Rev</t>
        </is>
      </c>
      <c r="G4" s="9" t="inlineStr">
        <is>
          <t>Link / Path (Ctrl+K)</t>
        </is>
      </c>
      <c r="H4" s="9" t="inlineStr">
        <is>
          <t>Date</t>
        </is>
      </c>
      <c r="I4" s="9" t="inlineStr">
        <is>
          <t>Status</t>
        </is>
      </c>
      <c r="J4" s="9" t="inlineStr">
        <is>
          <t>Related Person / Area</t>
        </is>
      </c>
      <c r="K4" s="9" t="inlineStr">
        <is>
          <t>Notes</t>
        </is>
      </c>
    </row>
    <row r="5">
      <c r="B5" s="7" t="inlineStr">
        <is>
          <t>DOC-001</t>
        </is>
      </c>
      <c r="C5" s="7" t="inlineStr">
        <is>
          <t>HSE Plan</t>
        </is>
      </c>
      <c r="D5" s="7" t="inlineStr">
        <is>
          <t>KAZ Project EHS Plan</t>
        </is>
      </c>
      <c r="E5" s="7" t="inlineStr">
        <is>
          <t>EHS Manager</t>
        </is>
      </c>
      <c r="F5" s="7" t="inlineStr">
        <is>
          <t>02</t>
        </is>
      </c>
      <c r="G5" s="52" t="inlineStr">
        <is>
          <t>KAZ Project EHS Plan.pdf</t>
        </is>
      </c>
      <c r="H5" s="42" t="n">
        <v>46037</v>
      </c>
      <c r="I5" s="7" t="inlineStr">
        <is>
          <t>Approved</t>
        </is>
      </c>
      <c r="J5" s="7" t="inlineStr">
        <is>
          <t>Project-wide</t>
        </is>
      </c>
    </row>
    <row r="6">
      <c r="B6" s="7" t="inlineStr">
        <is>
          <t>DOC-002</t>
        </is>
      </c>
      <c r="C6" s="7" t="inlineStr">
        <is>
          <t>Security Plan</t>
        </is>
      </c>
      <c r="D6" s="7" t="inlineStr">
        <is>
          <t>KAZ Security Management Plan</t>
        </is>
      </c>
      <c r="E6" s="7" t="inlineStr">
        <is>
          <t>Security Lead</t>
        </is>
      </c>
      <c r="F6" s="7" t="inlineStr">
        <is>
          <t>01</t>
        </is>
      </c>
      <c r="G6" s="52" t="inlineStr">
        <is>
          <t>خطه السكيورتي.docx</t>
        </is>
      </c>
      <c r="H6" s="42" t="n">
        <v>46042</v>
      </c>
      <c r="I6" s="7" t="inlineStr">
        <is>
          <t>Approved</t>
        </is>
      </c>
      <c r="J6" s="7" t="inlineStr">
        <is>
          <t>Project-wide</t>
        </is>
      </c>
    </row>
    <row r="7">
      <c r="B7" s="7" t="inlineStr">
        <is>
          <t>DOC-003</t>
        </is>
      </c>
      <c r="C7" s="7" t="inlineStr">
        <is>
          <t>PTW Manual</t>
        </is>
      </c>
      <c r="D7" s="7" t="inlineStr">
        <is>
          <t>Permit to Work System Manual (Final)</t>
        </is>
      </c>
      <c r="E7" s="7" t="inlineStr">
        <is>
          <t>EHS Manager</t>
        </is>
      </c>
      <c r="F7" s="7" t="inlineStr">
        <is>
          <t>Final</t>
        </is>
      </c>
      <c r="G7" s="52" t="inlineStr">
        <is>
          <t>بيرمت سستم (Final).docx</t>
        </is>
      </c>
      <c r="H7" s="42" t="n">
        <v>46054</v>
      </c>
      <c r="I7" s="7" t="inlineStr">
        <is>
          <t>Approved</t>
        </is>
      </c>
      <c r="J7" s="7" t="inlineStr">
        <is>
          <t>All workfaces</t>
        </is>
      </c>
    </row>
    <row r="8">
      <c r="B8" s="7" t="inlineStr">
        <is>
          <t>DOC-004</t>
        </is>
      </c>
      <c r="C8" s="7" t="inlineStr">
        <is>
          <t>Policy</t>
        </is>
      </c>
      <c r="D8" s="7" t="inlineStr">
        <is>
          <t>EHS Policy (EN)</t>
        </is>
      </c>
      <c r="E8" s="7" t="inlineStr">
        <is>
          <t>Corporate EHS</t>
        </is>
      </c>
      <c r="F8" s="7" t="inlineStr">
        <is>
          <t>—</t>
        </is>
      </c>
      <c r="G8" s="52" t="inlineStr">
        <is>
          <t>Annex 1_EHS Policy_en (2).pdf</t>
        </is>
      </c>
      <c r="H8" s="42" t="n">
        <v>45809</v>
      </c>
      <c r="I8" s="7" t="inlineStr">
        <is>
          <t>Approved</t>
        </is>
      </c>
      <c r="J8" s="7" t="inlineStr">
        <is>
          <t>Corporate</t>
        </is>
      </c>
    </row>
    <row r="9">
      <c r="B9" s="7" t="inlineStr">
        <is>
          <t>DOC-005</t>
        </is>
      </c>
      <c r="C9" s="7" t="inlineStr">
        <is>
          <t>Policy</t>
        </is>
      </c>
      <c r="D9" s="7" t="inlineStr">
        <is>
          <t>Quality Policy (EN)</t>
        </is>
      </c>
      <c r="E9" s="7" t="inlineStr">
        <is>
          <t>QA</t>
        </is>
      </c>
      <c r="F9" s="7" t="inlineStr">
        <is>
          <t>—</t>
        </is>
      </c>
      <c r="G9" s="52" t="inlineStr">
        <is>
          <t>Annex 1_SE Quality Policy_en (4).pdf</t>
        </is>
      </c>
      <c r="H9" s="42" t="n">
        <v>45809</v>
      </c>
      <c r="I9" s="7" t="inlineStr">
        <is>
          <t>Approved</t>
        </is>
      </c>
      <c r="J9" s="7" t="inlineStr">
        <is>
          <t>Corporate</t>
        </is>
      </c>
    </row>
    <row r="10">
      <c r="B10" s="7" t="inlineStr">
        <is>
          <t>DOC-006</t>
        </is>
      </c>
      <c r="C10" s="7" t="inlineStr">
        <is>
          <t>Procedure</t>
        </is>
      </c>
      <c r="D10" s="7" t="inlineStr">
        <is>
          <t>EHS General Requirements for Contractors</t>
        </is>
      </c>
      <c r="E10" s="7" t="inlineStr">
        <is>
          <t>EHS Manager</t>
        </is>
      </c>
      <c r="F10" s="7" t="inlineStr">
        <is>
          <t>EN</t>
        </is>
      </c>
      <c r="G10" s="52" t="inlineStr">
        <is>
          <t>Instruction_EHS General Requirements for Contractors_EN.pdf</t>
        </is>
      </c>
      <c r="H10" s="42" t="n">
        <v>45870</v>
      </c>
      <c r="I10" s="7" t="inlineStr">
        <is>
          <t>Approved</t>
        </is>
      </c>
      <c r="J10" s="7" t="inlineStr">
        <is>
          <t>Subcontractors</t>
        </is>
      </c>
    </row>
    <row r="11">
      <c r="B11" s="7" t="inlineStr">
        <is>
          <t>DOC-007</t>
        </is>
      </c>
      <c r="C11" s="7" t="inlineStr">
        <is>
          <t>Standard</t>
        </is>
      </c>
      <c r="D11" s="7" t="inlineStr">
        <is>
          <t>EHS Principles and core responsibilities</t>
        </is>
      </c>
      <c r="E11" s="7" t="inlineStr">
        <is>
          <t>Corporate EHS</t>
        </is>
      </c>
      <c r="F11" s="7" t="inlineStr">
        <is>
          <t>EN</t>
        </is>
      </c>
      <c r="G11" s="52" t="inlineStr">
        <is>
          <t>Standard_EHS Principles and core responsibilities_EN (9).pdf</t>
        </is>
      </c>
      <c r="H11" s="42" t="n">
        <v>45778</v>
      </c>
      <c r="I11" s="7" t="inlineStr">
        <is>
          <t>Approved</t>
        </is>
      </c>
      <c r="J11" s="7" t="inlineStr">
        <is>
          <t>All staff</t>
        </is>
      </c>
    </row>
    <row r="12">
      <c r="B12" s="7" t="inlineStr">
        <is>
          <t>DOC-008</t>
        </is>
      </c>
      <c r="C12" s="7" t="inlineStr">
        <is>
          <t>Risk</t>
        </is>
      </c>
      <c r="D12" s="7" t="inlineStr">
        <is>
          <t>KAZ Project Risk Analysis</t>
        </is>
      </c>
      <c r="E12" s="7" t="inlineStr">
        <is>
          <t>EHS Manager</t>
        </is>
      </c>
      <c r="F12" s="7" t="inlineStr">
        <is>
          <t>01</t>
        </is>
      </c>
      <c r="G12" s="52" t="inlineStr">
        <is>
          <t>KAZ Project Risk Analysis.pdf</t>
        </is>
      </c>
      <c r="H12" s="42" t="n">
        <v>46032</v>
      </c>
      <c r="I12" s="7" t="inlineStr">
        <is>
          <t>Approved</t>
        </is>
      </c>
      <c r="J12" s="7" t="inlineStr">
        <is>
          <t>Project-wide</t>
        </is>
      </c>
    </row>
    <row r="13">
      <c r="B13" s="7" t="inlineStr">
        <is>
          <t>DOC-009</t>
        </is>
      </c>
      <c r="C13" s="7" t="inlineStr">
        <is>
          <t>CV — EHS Staff</t>
        </is>
      </c>
      <c r="D13" s="7" t="inlineStr">
        <is>
          <t>EHS Manager CV (place file)</t>
        </is>
      </c>
      <c r="E13" s="7" t="inlineStr">
        <is>
          <t>HR / EHS</t>
        </is>
      </c>
      <c r="F13" s="7" t="inlineStr">
        <is>
          <t>00</t>
        </is>
      </c>
      <c r="G13" s="52" t="inlineStr">
        <is>
          <t>CVs\EHS_Manager.pdf</t>
        </is>
      </c>
      <c r="H13" s="42" t="n">
        <v>46054</v>
      </c>
      <c r="I13" s="7" t="inlineStr">
        <is>
          <t>Live</t>
        </is>
      </c>
      <c r="J13" s="7" t="inlineStr">
        <is>
          <t>EHS Manager</t>
        </is>
      </c>
    </row>
    <row r="14">
      <c r="B14" s="7" t="inlineStr">
        <is>
          <t>DOC-010</t>
        </is>
      </c>
      <c r="C14" s="7" t="inlineStr">
        <is>
          <t>CV — EHS Staff</t>
        </is>
      </c>
      <c r="D14" s="7" t="inlineStr">
        <is>
          <t>EHS Officer — Hassan Ibrahim CV</t>
        </is>
      </c>
      <c r="E14" s="7" t="inlineStr">
        <is>
          <t>HR / EHS</t>
        </is>
      </c>
      <c r="F14" s="7" t="inlineStr">
        <is>
          <t>00</t>
        </is>
      </c>
      <c r="G14" s="52" t="inlineStr">
        <is>
          <t>CVs\EHS_Officer_Hassan.pdf</t>
        </is>
      </c>
      <c r="H14" s="42" t="n">
        <v>46054</v>
      </c>
      <c r="I14" s="7" t="inlineStr">
        <is>
          <t>Live</t>
        </is>
      </c>
      <c r="J14" s="7" t="inlineStr">
        <is>
          <t>EMP-007</t>
        </is>
      </c>
    </row>
    <row r="15">
      <c r="B15" s="7" t="inlineStr">
        <is>
          <t>DOC-011</t>
        </is>
      </c>
      <c r="C15" s="7" t="inlineStr">
        <is>
          <t>CV — EHS Staff</t>
        </is>
      </c>
      <c r="D15" s="7" t="inlineStr">
        <is>
          <t>EHS Supervisor CV (place file)</t>
        </is>
      </c>
      <c r="E15" s="7" t="inlineStr">
        <is>
          <t>HR / EHS</t>
        </is>
      </c>
      <c r="F15" s="7" t="inlineStr">
        <is>
          <t>00</t>
        </is>
      </c>
      <c r="G15" s="52" t="inlineStr">
        <is>
          <t>CVs\EHS_Supervisor.pdf</t>
        </is>
      </c>
      <c r="H15" s="42" t="n">
        <v>46054</v>
      </c>
      <c r="I15" s="7" t="inlineStr">
        <is>
          <t>Live</t>
        </is>
      </c>
      <c r="J15" s="7" t="inlineStr">
        <is>
          <t>EHS Supervisor</t>
        </is>
      </c>
    </row>
    <row r="16">
      <c r="B16" s="7" t="inlineStr">
        <is>
          <t>DOC-012</t>
        </is>
      </c>
      <c r="C16" s="7" t="inlineStr">
        <is>
          <t>Form</t>
        </is>
      </c>
      <c r="D16" s="7" t="inlineStr">
        <is>
          <t>Near-Miss Report Form</t>
        </is>
      </c>
      <c r="E16" s="7" t="inlineStr">
        <is>
          <t>EHS</t>
        </is>
      </c>
      <c r="F16" s="7" t="inlineStr">
        <is>
          <t>01</t>
        </is>
      </c>
      <c r="G16" s="52" t="inlineStr">
        <is>
          <t>000480_Near-Miss Report Form.docx</t>
        </is>
      </c>
      <c r="H16" s="42" t="n">
        <v>46023</v>
      </c>
      <c r="I16" s="7" t="inlineStr">
        <is>
          <t>Approved</t>
        </is>
      </c>
      <c r="J16" s="7" t="inlineStr">
        <is>
          <t>Incidents</t>
        </is>
      </c>
    </row>
    <row r="17">
      <c r="B17" s="7" t="inlineStr">
        <is>
          <t>DOC-013</t>
        </is>
      </c>
      <c r="C17" s="7" t="inlineStr">
        <is>
          <t>Checklist</t>
        </is>
      </c>
      <c r="D17" s="7" t="inlineStr">
        <is>
          <t>EHS Officer Site Checklist</t>
        </is>
      </c>
      <c r="E17" s="7" t="inlineStr">
        <is>
          <t>EHS</t>
        </is>
      </c>
      <c r="F17" s="7" t="inlineStr">
        <is>
          <t>01</t>
        </is>
      </c>
      <c r="G17" s="52" t="inlineStr">
        <is>
          <t>EHS Officer site check list.xlsx</t>
        </is>
      </c>
      <c r="H17" s="42" t="n">
        <v>46023</v>
      </c>
      <c r="I17" s="7" t="inlineStr">
        <is>
          <t>Approved</t>
        </is>
      </c>
      <c r="J17" s="7" t="inlineStr">
        <is>
          <t>Inspections</t>
        </is>
      </c>
    </row>
    <row r="18">
      <c r="B18" s="7" t="inlineStr">
        <is>
          <t>DOC-014</t>
        </is>
      </c>
      <c r="C18" s="7" t="inlineStr">
        <is>
          <t>Report</t>
        </is>
      </c>
      <c r="D18" s="7" t="inlineStr">
        <is>
          <t>Daily EHS Report template</t>
        </is>
      </c>
      <c r="E18" s="7" t="inlineStr">
        <is>
          <t>EHS</t>
        </is>
      </c>
      <c r="F18" s="7" t="inlineStr">
        <is>
          <t>2026</t>
        </is>
      </c>
      <c r="G18" s="52" t="inlineStr">
        <is>
          <t>Daily EHS Report 2026.xlsx</t>
        </is>
      </c>
      <c r="H18" s="42" t="n">
        <v>46023</v>
      </c>
      <c r="I18" s="7" t="inlineStr">
        <is>
          <t>Approved</t>
        </is>
      </c>
      <c r="J18" s="7" t="inlineStr">
        <is>
          <t>Daily</t>
        </is>
      </c>
    </row>
    <row r="19">
      <c r="B19" s="7" t="inlineStr">
        <is>
          <t>DOC-015</t>
        </is>
      </c>
      <c r="C19" s="7" t="inlineStr">
        <is>
          <t>Materials</t>
        </is>
      </c>
      <c r="D19" s="7" t="inlineStr">
        <is>
          <t>Materials Management Plan (Final)</t>
        </is>
      </c>
      <c r="E19" s="7" t="inlineStr">
        <is>
          <t>Logistics</t>
        </is>
      </c>
      <c r="F19" s="7" t="inlineStr">
        <is>
          <t>Final</t>
        </is>
      </c>
      <c r="G19" s="52" t="inlineStr">
        <is>
          <t>خطه اداره المواد (Final).docx</t>
        </is>
      </c>
      <c r="H19" s="42" t="n">
        <v>46054</v>
      </c>
      <c r="I19" s="7" t="inlineStr">
        <is>
          <t>Approved</t>
        </is>
      </c>
      <c r="J19" s="7" t="inlineStr">
        <is>
          <t>Stores</t>
        </is>
      </c>
    </row>
    <row r="20">
      <c r="B20" s="7" t="n"/>
      <c r="C20" s="7" t="n"/>
      <c r="D20" s="7" t="n"/>
      <c r="E20" s="7" t="n"/>
      <c r="F20" s="7" t="n"/>
      <c r="G20" s="7" t="n"/>
      <c r="H20" s="42" t="n"/>
      <c r="I20" s="7" t="n"/>
      <c r="J20" s="7" t="n"/>
      <c r="K20" s="7" t="n"/>
    </row>
    <row r="21">
      <c r="B21" s="7" t="n"/>
      <c r="C21" s="7" t="n"/>
      <c r="D21" s="7" t="n"/>
      <c r="E21" s="7" t="n"/>
      <c r="F21" s="7" t="n"/>
      <c r="G21" s="7" t="n"/>
      <c r="H21" s="42" t="n"/>
      <c r="I21" s="7" t="n"/>
      <c r="J21" s="7" t="n"/>
      <c r="K21" s="7" t="n"/>
    </row>
    <row r="22">
      <c r="B22" s="7" t="n"/>
      <c r="C22" s="7" t="n"/>
      <c r="D22" s="7" t="n"/>
      <c r="E22" s="7" t="n"/>
      <c r="F22" s="7" t="n"/>
      <c r="G22" s="7" t="n"/>
      <c r="H22" s="42" t="n"/>
      <c r="I22" s="7" t="n"/>
      <c r="J22" s="7" t="n"/>
      <c r="K22" s="7" t="n"/>
    </row>
    <row r="23">
      <c r="B23" s="7" t="n"/>
      <c r="C23" s="7" t="n"/>
      <c r="D23" s="7" t="n"/>
      <c r="E23" s="7" t="n"/>
      <c r="F23" s="7" t="n"/>
      <c r="G23" s="7" t="n"/>
      <c r="H23" s="42" t="n"/>
      <c r="I23" s="7" t="n"/>
      <c r="J23" s="7" t="n"/>
      <c r="K23" s="7" t="n"/>
    </row>
    <row r="24">
      <c r="B24" s="7" t="n"/>
      <c r="C24" s="7" t="n"/>
      <c r="D24" s="7" t="n"/>
      <c r="E24" s="7" t="n"/>
      <c r="F24" s="7" t="n"/>
      <c r="G24" s="7" t="n"/>
      <c r="H24" s="42" t="n"/>
      <c r="I24" s="7" t="n"/>
      <c r="J24" s="7" t="n"/>
      <c r="K24" s="7" t="n"/>
    </row>
    <row r="25">
      <c r="B25" s="7" t="n"/>
      <c r="C25" s="7" t="n"/>
      <c r="D25" s="7" t="n"/>
      <c r="E25" s="7" t="n"/>
      <c r="F25" s="7" t="n"/>
      <c r="G25" s="7" t="n"/>
      <c r="H25" s="42" t="n"/>
      <c r="I25" s="7" t="n"/>
      <c r="J25" s="7" t="n"/>
      <c r="K25" s="7" t="n"/>
    </row>
    <row r="26">
      <c r="B26" s="7" t="n"/>
      <c r="C26" s="7" t="n"/>
      <c r="D26" s="7" t="n"/>
      <c r="E26" s="7" t="n"/>
      <c r="F26" s="7" t="n"/>
      <c r="G26" s="7" t="n"/>
      <c r="H26" s="42" t="n"/>
      <c r="I26" s="7" t="n"/>
      <c r="J26" s="7" t="n"/>
      <c r="K26" s="7" t="n"/>
    </row>
    <row r="27">
      <c r="B27" s="7" t="n"/>
      <c r="C27" s="7" t="n"/>
      <c r="D27" s="7" t="n"/>
      <c r="E27" s="7" t="n"/>
      <c r="F27" s="7" t="n"/>
      <c r="G27" s="7" t="n"/>
      <c r="H27" s="42" t="n"/>
      <c r="I27" s="7" t="n"/>
      <c r="J27" s="7" t="n"/>
      <c r="K27" s="7" t="n"/>
    </row>
    <row r="28">
      <c r="B28" s="7" t="n"/>
      <c r="C28" s="7" t="n"/>
      <c r="D28" s="7" t="n"/>
      <c r="E28" s="7" t="n"/>
      <c r="F28" s="7" t="n"/>
      <c r="G28" s="7" t="n"/>
      <c r="H28" s="42" t="n"/>
      <c r="I28" s="7" t="n"/>
      <c r="J28" s="7" t="n"/>
      <c r="K28" s="7" t="n"/>
    </row>
    <row r="29">
      <c r="B29" s="7" t="n"/>
      <c r="C29" s="7" t="n"/>
      <c r="D29" s="7" t="n"/>
      <c r="E29" s="7" t="n"/>
      <c r="F29" s="7" t="n"/>
      <c r="G29" s="7" t="n"/>
      <c r="H29" s="42" t="n"/>
      <c r="I29" s="7" t="n"/>
      <c r="J29" s="7" t="n"/>
      <c r="K29" s="7" t="n"/>
    </row>
    <row r="30">
      <c r="B30" s="7" t="n"/>
      <c r="C30" s="7" t="n"/>
      <c r="D30" s="7" t="n"/>
      <c r="E30" s="7" t="n"/>
      <c r="F30" s="7" t="n"/>
      <c r="G30" s="7" t="n"/>
      <c r="H30" s="42" t="n"/>
      <c r="I30" s="7" t="n"/>
      <c r="J30" s="7" t="n"/>
      <c r="K30" s="7" t="n"/>
    </row>
    <row r="31">
      <c r="B31" s="7" t="n"/>
      <c r="C31" s="7" t="n"/>
      <c r="D31" s="7" t="n"/>
      <c r="E31" s="7" t="n"/>
      <c r="F31" s="7" t="n"/>
      <c r="G31" s="7" t="n"/>
      <c r="H31" s="42" t="n"/>
      <c r="I31" s="7" t="n"/>
      <c r="J31" s="7" t="n"/>
      <c r="K31" s="7" t="n"/>
    </row>
    <row r="32">
      <c r="B32" s="7" t="n"/>
      <c r="C32" s="7" t="n"/>
      <c r="D32" s="7" t="n"/>
      <c r="E32" s="7" t="n"/>
      <c r="F32" s="7" t="n"/>
      <c r="G32" s="7" t="n"/>
      <c r="H32" s="42" t="n"/>
      <c r="I32" s="7" t="n"/>
      <c r="J32" s="7" t="n"/>
      <c r="K32" s="7" t="n"/>
    </row>
    <row r="33">
      <c r="B33" s="7" t="n"/>
      <c r="C33" s="7" t="n"/>
      <c r="D33" s="7" t="n"/>
      <c r="E33" s="7" t="n"/>
      <c r="F33" s="7" t="n"/>
      <c r="G33" s="7" t="n"/>
      <c r="H33" s="42" t="n"/>
      <c r="I33" s="7" t="n"/>
      <c r="J33" s="7" t="n"/>
      <c r="K33" s="7" t="n"/>
    </row>
    <row r="34">
      <c r="B34" s="7" t="n"/>
      <c r="C34" s="7" t="n"/>
      <c r="D34" s="7" t="n"/>
      <c r="E34" s="7" t="n"/>
      <c r="F34" s="7" t="n"/>
      <c r="G34" s="7" t="n"/>
      <c r="H34" s="42" t="n"/>
      <c r="I34" s="7" t="n"/>
      <c r="J34" s="7" t="n"/>
      <c r="K34" s="7" t="n"/>
    </row>
    <row r="35">
      <c r="B35" s="7" t="n"/>
      <c r="C35" s="7" t="n"/>
      <c r="D35" s="7" t="n"/>
      <c r="E35" s="7" t="n"/>
      <c r="F35" s="7" t="n"/>
      <c r="G35" s="7" t="n"/>
      <c r="H35" s="42" t="n"/>
      <c r="I35" s="7" t="n"/>
      <c r="J35" s="7" t="n"/>
      <c r="K35" s="7" t="n"/>
    </row>
    <row r="36">
      <c r="B36" s="7" t="n"/>
      <c r="C36" s="7" t="n"/>
      <c r="D36" s="7" t="n"/>
      <c r="E36" s="7" t="n"/>
      <c r="F36" s="7" t="n"/>
      <c r="G36" s="7" t="n"/>
      <c r="H36" s="42" t="n"/>
      <c r="I36" s="7" t="n"/>
      <c r="J36" s="7" t="n"/>
      <c r="K36" s="7" t="n"/>
    </row>
    <row r="37">
      <c r="B37" s="7" t="n"/>
      <c r="C37" s="7" t="n"/>
      <c r="D37" s="7" t="n"/>
      <c r="E37" s="7" t="n"/>
      <c r="F37" s="7" t="n"/>
      <c r="G37" s="7" t="n"/>
      <c r="H37" s="42" t="n"/>
      <c r="I37" s="7" t="n"/>
      <c r="J37" s="7" t="n"/>
      <c r="K37" s="7" t="n"/>
    </row>
    <row r="38">
      <c r="B38" s="7" t="n"/>
      <c r="C38" s="7" t="n"/>
      <c r="D38" s="7" t="n"/>
      <c r="E38" s="7" t="n"/>
      <c r="F38" s="7" t="n"/>
      <c r="G38" s="7" t="n"/>
      <c r="H38" s="42" t="n"/>
      <c r="I38" s="7" t="n"/>
      <c r="J38" s="7" t="n"/>
      <c r="K38" s="7" t="n"/>
    </row>
    <row r="39">
      <c r="B39" s="7" t="n"/>
      <c r="C39" s="7" t="n"/>
      <c r="D39" s="7" t="n"/>
      <c r="E39" s="7" t="n"/>
      <c r="F39" s="7" t="n"/>
      <c r="G39" s="7" t="n"/>
      <c r="H39" s="42" t="n"/>
      <c r="I39" s="7" t="n"/>
      <c r="J39" s="7" t="n"/>
      <c r="K39" s="7" t="n"/>
    </row>
    <row r="40">
      <c r="B40" s="7" t="n"/>
      <c r="C40" s="7" t="n"/>
      <c r="D40" s="7" t="n"/>
      <c r="E40" s="7" t="n"/>
      <c r="F40" s="7" t="n"/>
      <c r="G40" s="7" t="n"/>
      <c r="H40" s="42" t="n"/>
      <c r="I40" s="7" t="n"/>
      <c r="J40" s="7" t="n"/>
      <c r="K40" s="7" t="n"/>
    </row>
    <row r="41">
      <c r="B41" s="7" t="n"/>
      <c r="C41" s="7" t="n"/>
      <c r="D41" s="7" t="n"/>
      <c r="E41" s="7" t="n"/>
      <c r="F41" s="7" t="n"/>
      <c r="G41" s="7" t="n"/>
      <c r="H41" s="42" t="n"/>
      <c r="I41" s="7" t="n"/>
      <c r="J41" s="7" t="n"/>
      <c r="K41" s="7" t="n"/>
    </row>
    <row r="42">
      <c r="B42" s="7" t="n"/>
      <c r="C42" s="7" t="n"/>
      <c r="D42" s="7" t="n"/>
      <c r="E42" s="7" t="n"/>
      <c r="F42" s="7" t="n"/>
      <c r="G42" s="7" t="n"/>
      <c r="H42" s="42" t="n"/>
      <c r="I42" s="7" t="n"/>
      <c r="J42" s="7" t="n"/>
      <c r="K42" s="7" t="n"/>
    </row>
    <row r="43">
      <c r="B43" s="7" t="n"/>
      <c r="C43" s="7" t="n"/>
      <c r="D43" s="7" t="n"/>
      <c r="E43" s="7" t="n"/>
      <c r="F43" s="7" t="n"/>
      <c r="G43" s="7" t="n"/>
      <c r="H43" s="42" t="n"/>
      <c r="I43" s="7" t="n"/>
      <c r="J43" s="7" t="n"/>
      <c r="K43" s="7" t="n"/>
    </row>
    <row r="44">
      <c r="B44" s="7" t="n"/>
      <c r="C44" s="7" t="n"/>
      <c r="D44" s="7" t="n"/>
      <c r="E44" s="7" t="n"/>
      <c r="F44" s="7" t="n"/>
      <c r="G44" s="7" t="n"/>
      <c r="H44" s="42" t="n"/>
      <c r="I44" s="7" t="n"/>
      <c r="J44" s="7" t="n"/>
      <c r="K44" s="7" t="n"/>
    </row>
    <row r="45">
      <c r="B45" s="7" t="n"/>
      <c r="C45" s="7" t="n"/>
      <c r="D45" s="7" t="n"/>
      <c r="E45" s="7" t="n"/>
      <c r="F45" s="7" t="n"/>
      <c r="G45" s="7" t="n"/>
      <c r="H45" s="42" t="n"/>
      <c r="I45" s="7" t="n"/>
      <c r="J45" s="7" t="n"/>
      <c r="K45" s="7" t="n"/>
    </row>
    <row r="46">
      <c r="B46" s="7" t="n"/>
      <c r="C46" s="7" t="n"/>
      <c r="D46" s="7" t="n"/>
      <c r="E46" s="7" t="n"/>
      <c r="F46" s="7" t="n"/>
      <c r="G46" s="7" t="n"/>
      <c r="H46" s="42" t="n"/>
      <c r="I46" s="7" t="n"/>
      <c r="J46" s="7" t="n"/>
      <c r="K46" s="7" t="n"/>
    </row>
    <row r="47">
      <c r="B47" s="7" t="n"/>
      <c r="C47" s="7" t="n"/>
      <c r="D47" s="7" t="n"/>
      <c r="E47" s="7" t="n"/>
      <c r="F47" s="7" t="n"/>
      <c r="G47" s="7" t="n"/>
      <c r="H47" s="42" t="n"/>
      <c r="I47" s="7" t="n"/>
      <c r="J47" s="7" t="n"/>
      <c r="K47" s="7" t="n"/>
    </row>
    <row r="48">
      <c r="B48" s="7" t="n"/>
      <c r="C48" s="7" t="n"/>
      <c r="D48" s="7" t="n"/>
      <c r="E48" s="7" t="n"/>
      <c r="F48" s="7" t="n"/>
      <c r="G48" s="7" t="n"/>
      <c r="H48" s="42" t="n"/>
      <c r="I48" s="7" t="n"/>
      <c r="J48" s="7" t="n"/>
      <c r="K48" s="7" t="n"/>
    </row>
    <row r="49">
      <c r="B49" s="7" t="n"/>
      <c r="C49" s="7" t="n"/>
      <c r="D49" s="7" t="n"/>
      <c r="E49" s="7" t="n"/>
      <c r="F49" s="7" t="n"/>
      <c r="G49" s="7" t="n"/>
      <c r="H49" s="42" t="n"/>
      <c r="I49" s="7" t="n"/>
      <c r="J49" s="7" t="n"/>
      <c r="K49" s="7" t="n"/>
    </row>
    <row r="52">
      <c r="B52" s="37" t="inlineStr">
        <is>
          <t>Place actual CV PDF/DOCX files in a folder named CVs next to this workbook, or paste SharePoint links. Select a cell in column G → Insert → Link (Ctrl+K). VBA cannot embed binary files inside xlsx; hyperlinks are the controlled method.</t>
        </is>
      </c>
    </row>
    <row r="53"/>
  </sheetData>
  <mergeCells count="3">
    <mergeCell ref="A2:K2"/>
    <mergeCell ref="B52:K53"/>
    <mergeCell ref="A1:K1"/>
  </mergeCells>
  <dataValidations count="2">
    <dataValidation sqref="C5:C50" showDropDown="0" showInputMessage="0" showErrorMessage="0" allowBlank="1" type="list">
      <formula1>"HSE Plan,Security Plan,PTW Manual,Policy,Procedure,Standard,Risk,CV — EHS Staff,Form,Checklist,Report,Materials,Other"</formula1>
    </dataValidation>
    <dataValidation sqref="I5:I50" showDropDown="0" showInputMessage="0" showErrorMessage="0" allowBlank="1" type="list">
      <formula1>"Approved,Live,Draft,Superseded,Missing file"</formula1>
    </dataValidation>
  </dataValidations>
  <pageMargins left="0.75" right="0.75" top="1" bottom="1" header="0.5" footer="0.5"/>
  <pageSetup orientation="landscape" paperSize="9" fitToHeight="0" fitToWidth="1"/>
  <headerFooter>
    <oddHeader>&amp;LKAZ PP Expansion | EHS</oddHeader>
    <oddFooter>&amp;RConfidential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2026-09-09T15:39:42Z</dcterms:created>
  <dcterms:modified xsi:type="dcterms:W3CDTF">2026-09-09T15:39:42Z</dcterms:modified>
</cp:coreProperties>
</file>