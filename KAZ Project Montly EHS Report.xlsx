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charts/chart8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56db90409307eee/Desktop/SIEMENS EHS decuments/"/>
    </mc:Choice>
  </mc:AlternateContent>
  <xr:revisionPtr revIDLastSave="77" documentId="13_ncr:1_{74FE7F57-B5E4-461B-8D2C-5BA193E4D56C}" xr6:coauthVersionLast="47" xr6:coauthVersionMax="47" xr10:uidLastSave="{9931F5C6-1A25-45B9-A163-859BC429B0A1}"/>
  <bookViews>
    <workbookView xWindow="-110" yWindow="-110" windowWidth="19420" windowHeight="11500" activeTab="2" xr2:uid="{00000000-000D-0000-FFFF-FFFF00000000}"/>
  </bookViews>
  <sheets>
    <sheet name="EHS Communication (2)" sheetId="13" r:id="rId1"/>
    <sheet name="EHS Incıdent" sheetId="8" r:id="rId2"/>
    <sheet name="CAPA List " sheetId="14" r:id="rId3"/>
    <sheet name="EHS KPI" sheetId="7" r:id="rId4"/>
    <sheet name="Environmental" sheetId="5" r:id="rId5"/>
  </sheets>
  <definedNames>
    <definedName name="_xlnm.Print_Area" localSheetId="3">'EHS KPI'!$A$1:$S$54</definedName>
    <definedName name="_xlnm.Print_Titles" localSheetId="3">'EHS KPI'!#REF!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0" i="7" l="1"/>
  <c r="N14" i="7"/>
  <c r="O21" i="7" l="1"/>
  <c r="O12" i="7"/>
  <c r="N32" i="7"/>
  <c r="I14" i="7" l="1"/>
  <c r="C14" i="7" l="1"/>
  <c r="C30" i="7" s="1"/>
  <c r="D14" i="7"/>
  <c r="M14" i="7"/>
  <c r="E14" i="7"/>
  <c r="F14" i="7"/>
  <c r="G14" i="7"/>
  <c r="H14" i="7"/>
  <c r="J14" i="7"/>
  <c r="K14" i="7"/>
  <c r="L14" i="7"/>
  <c r="O22" i="7"/>
  <c r="O23" i="7"/>
  <c r="O24" i="7"/>
  <c r="O25" i="7"/>
  <c r="O26" i="7"/>
  <c r="M30" i="7" l="1"/>
  <c r="N30" i="7"/>
  <c r="M32" i="7"/>
  <c r="L32" i="7"/>
  <c r="K32" i="7"/>
  <c r="J32" i="7"/>
  <c r="I32" i="7"/>
  <c r="H32" i="7"/>
  <c r="G32" i="7"/>
  <c r="F32" i="7"/>
  <c r="E32" i="7"/>
  <c r="D32" i="7"/>
  <c r="O13" i="7"/>
  <c r="O14" i="7" l="1"/>
  <c r="C32" i="7"/>
  <c r="K30" i="7"/>
  <c r="G30" i="7"/>
  <c r="L30" i="7"/>
  <c r="H30" i="7"/>
  <c r="D30" i="7"/>
  <c r="I30" i="7"/>
  <c r="E30" i="7"/>
  <c r="J30" i="7"/>
  <c r="F30" i="7"/>
  <c r="C31" i="7"/>
  <c r="G31" i="7"/>
  <c r="F31" i="7"/>
  <c r="E31" i="7"/>
  <c r="D31" i="7"/>
  <c r="H31" i="7"/>
  <c r="O32" i="7" l="1"/>
  <c r="O30" i="7"/>
</calcChain>
</file>

<file path=xl/sharedStrings.xml><?xml version="1.0" encoding="utf-8"?>
<sst xmlns="http://schemas.openxmlformats.org/spreadsheetml/2006/main" count="233" uniqueCount="115">
  <si>
    <t>EHS KPIs</t>
  </si>
  <si>
    <t xml:space="preserve"> </t>
  </si>
  <si>
    <t>Toolbox</t>
  </si>
  <si>
    <t>EHS Meeting</t>
  </si>
  <si>
    <t>Site Induction Trainning/body count</t>
  </si>
  <si>
    <t>Site Inspection</t>
  </si>
  <si>
    <t>EHS Awards</t>
  </si>
  <si>
    <t>SWAT(DIV/BU)</t>
  </si>
  <si>
    <t>Work Permit</t>
  </si>
  <si>
    <t xml:space="preserve">Re-Active Events </t>
  </si>
  <si>
    <t>LTC- LTD</t>
  </si>
  <si>
    <t>Fatality</t>
  </si>
  <si>
    <t>Lost Time Case</t>
  </si>
  <si>
    <t>Lost Time Date</t>
  </si>
  <si>
    <t>Restricted Work Case</t>
  </si>
  <si>
    <t>Medical Treatment Case</t>
  </si>
  <si>
    <t>First Aid Case</t>
  </si>
  <si>
    <t>Damage</t>
  </si>
  <si>
    <t>Travel</t>
  </si>
  <si>
    <t>Environmental Event</t>
  </si>
  <si>
    <t xml:space="preserve">Pro-Active  Events </t>
  </si>
  <si>
    <t>CAPA List</t>
  </si>
  <si>
    <t>Near Mıss</t>
  </si>
  <si>
    <t>Completed</t>
  </si>
  <si>
    <t>Unsafe Condution</t>
  </si>
  <si>
    <t>Holding</t>
  </si>
  <si>
    <t>Incompleted</t>
  </si>
  <si>
    <t xml:space="preserve">CAPA
</t>
  </si>
  <si>
    <t xml:space="preserve">Date of Detection </t>
  </si>
  <si>
    <t xml:space="preserve">Unsafe Situation/ Behavior </t>
  </si>
  <si>
    <t xml:space="preserve">Photo </t>
  </si>
  <si>
    <t xml:space="preserve">Deadline </t>
  </si>
  <si>
    <t xml:space="preserve">Action to take </t>
  </si>
  <si>
    <t xml:space="preserve">Responsible </t>
  </si>
  <si>
    <t xml:space="preserve">Status </t>
  </si>
  <si>
    <t>actual</t>
  </si>
  <si>
    <t>previous</t>
  </si>
  <si>
    <t>Days without Lost Time Case*</t>
  </si>
  <si>
    <t>Working hours without Lost Time Case*</t>
  </si>
  <si>
    <t>Number of Lost Time Cases YTD*</t>
  </si>
  <si>
    <t>Number of Lost Days YTD*</t>
  </si>
  <si>
    <t>Manhours</t>
  </si>
  <si>
    <t>Oct</t>
  </si>
  <si>
    <t>Nov</t>
  </si>
  <si>
    <t>Dec</t>
  </si>
  <si>
    <t>Jan</t>
  </si>
  <si>
    <t>Febr</t>
  </si>
  <si>
    <t>Mar</t>
  </si>
  <si>
    <t>Apr</t>
  </si>
  <si>
    <t>May</t>
  </si>
  <si>
    <t>Jun</t>
  </si>
  <si>
    <t>July</t>
  </si>
  <si>
    <t>Aug</t>
  </si>
  <si>
    <t>Sep</t>
  </si>
  <si>
    <t>YTD</t>
  </si>
  <si>
    <t>Manhours Siemens Enerji</t>
  </si>
  <si>
    <t xml:space="preserve">Manhours Subcontractors </t>
  </si>
  <si>
    <t xml:space="preserve">                                         </t>
  </si>
  <si>
    <t xml:space="preserve">Total Manhours </t>
  </si>
  <si>
    <t>EHS Events</t>
  </si>
  <si>
    <t>Oct.</t>
  </si>
  <si>
    <t>Nov.</t>
  </si>
  <si>
    <t>Dec.</t>
  </si>
  <si>
    <t>Jan.</t>
  </si>
  <si>
    <t>Feb.</t>
  </si>
  <si>
    <t>Mar.</t>
  </si>
  <si>
    <t>Apr.</t>
  </si>
  <si>
    <t>Jul</t>
  </si>
  <si>
    <t>Sept</t>
  </si>
  <si>
    <t>Accident Frequency Rate</t>
  </si>
  <si>
    <t>Total Recordable Injury Rate</t>
  </si>
  <si>
    <t>Environmental Frequency Rate</t>
  </si>
  <si>
    <t>Water Consumption</t>
  </si>
  <si>
    <t xml:space="preserve"> (m3)</t>
  </si>
  <si>
    <t>Electricity Comsuption</t>
  </si>
  <si>
    <t xml:space="preserve"> (kW)</t>
  </si>
  <si>
    <t>Domestic Waste</t>
  </si>
  <si>
    <t>(kg)</t>
  </si>
  <si>
    <t>Plastic Waste</t>
  </si>
  <si>
    <t>Metal Waste</t>
  </si>
  <si>
    <t>Paper Waste</t>
  </si>
  <si>
    <t>Glass Waste</t>
  </si>
  <si>
    <t>Danger Waste</t>
  </si>
  <si>
    <t>Jun'26</t>
  </si>
  <si>
    <t>Jul'26</t>
  </si>
  <si>
    <t>Aug'26</t>
  </si>
  <si>
    <t>Sep'26</t>
  </si>
  <si>
    <t>Oct'26</t>
  </si>
  <si>
    <t>Nov'26</t>
  </si>
  <si>
    <t>Dec'26</t>
  </si>
  <si>
    <t>Jan'27</t>
  </si>
  <si>
    <t>Feb'27</t>
  </si>
  <si>
    <t>Mar'27</t>
  </si>
  <si>
    <t>Apr'27</t>
  </si>
  <si>
    <t>May'27</t>
  </si>
  <si>
    <t>DOF0001</t>
  </si>
  <si>
    <t>DOF0002</t>
  </si>
  <si>
    <t>DOF0003</t>
  </si>
  <si>
    <t>DOF0004</t>
  </si>
  <si>
    <t>DOF0005</t>
  </si>
  <si>
    <t>OPENED</t>
  </si>
  <si>
    <t>CLOSED</t>
  </si>
  <si>
    <t>DOF0006</t>
  </si>
  <si>
    <t>DOF0007</t>
  </si>
  <si>
    <t>DOF0008</t>
  </si>
  <si>
    <t>DOF0009</t>
  </si>
  <si>
    <t>DOF0010</t>
  </si>
  <si>
    <t>DOF0011</t>
  </si>
  <si>
    <t>DOF0012</t>
  </si>
  <si>
    <t>DOF0013</t>
  </si>
  <si>
    <t>DOF0014</t>
  </si>
  <si>
    <t>DOF0015</t>
  </si>
  <si>
    <t>DOF0016</t>
  </si>
  <si>
    <t>Onsite EHS Induction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</si>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</sst>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0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  <font>
      <b/>
      <sz val="1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theme="0" tint="-0.499984740745262"/>
      <name val="Arial"/>
      <family val="2"/>
    </font>
    <font>
      <sz val="9"/>
      <color theme="1"/>
      <name val="Arial"/>
      <family val="2"/>
    </font>
    <font>
      <sz val="11"/>
      <name val="Arial"/>
      <family val="2"/>
    </font>
    <font>
      <b/>
      <sz val="9"/>
      <color theme="1"/>
      <name val="Arial"/>
      <family val="2"/>
    </font>
    <font>
      <b/>
      <sz val="10"/>
      <color rgb="FF000000"/>
      <name val="Arial"/>
      <family val="2"/>
    </font>
    <font>
      <sz val="8"/>
      <color theme="1"/>
      <name val="Arial"/>
      <family val="2"/>
    </font>
    <font>
      <sz val="12"/>
      <color theme="1"/>
      <name val="Arial"/>
      <family val="2"/>
      <scheme val="minor"/>
    </font>
    <font>
      <b/>
      <sz val="10"/>
      <color rgb="FFFFFFFF"/>
      <name val="Arial"/>
      <family val="2"/>
    </font>
    <font>
      <sz val="8"/>
      <name val="Arial"/>
      <family val="2"/>
    </font>
    <font>
      <b/>
      <sz val="11"/>
      <color theme="0"/>
      <name val="Arial"/>
      <family val="2"/>
    </font>
    <font>
      <sz val="12"/>
      <color theme="1"/>
      <name val="Arial"/>
      <scheme val="minor"/>
    </font>
    <font>
      <sz val="12"/>
      <color theme="1"/>
      <name val="Arial"/>
      <family val="2"/>
      <charset val="162"/>
      <scheme val="minor"/>
    </font>
    <font>
      <sz val="10"/>
      <color rgb="FF000000"/>
      <name val="Arial"/>
      <family val="2"/>
    </font>
    <font>
      <b/>
      <sz val="10"/>
      <name val="Arial"/>
      <family val="2"/>
    </font>
    <font>
      <sz val="10"/>
      <color rgb="FF000000"/>
      <name val="Verdana"/>
      <family val="2"/>
    </font>
    <font>
      <sz val="9"/>
      <color rgb="FF000000"/>
      <name val="Verdana"/>
      <family val="2"/>
    </font>
    <font>
      <sz val="9"/>
      <color theme="1"/>
      <name val="Tahoma"/>
      <family val="2"/>
      <charset val="162"/>
    </font>
    <font>
      <sz val="10"/>
      <color rgb="FF000000"/>
      <name val="Tahoma"/>
      <family val="2"/>
    </font>
    <font>
      <sz val="9"/>
      <color rgb="FF000000"/>
      <name val="Tahoma"/>
      <family val="2"/>
    </font>
    <font>
      <sz val="6"/>
      <color rgb="FF000000"/>
      <name val="Verdana"/>
      <family val="2"/>
    </font>
    <font>
      <sz val="10"/>
      <color rgb="FF000000"/>
      <name val="Verdana"/>
      <family val="2"/>
      <charset val="162"/>
    </font>
    <font>
      <sz val="10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6487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AEDB6"/>
        <bgColor indexed="64"/>
      </patternFill>
    </fill>
    <fill>
      <patternFill patternType="solid">
        <fgColor rgb="FFFFFFFF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 style="medium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medium">
        <color theme="0" tint="-0.34998626667073579"/>
      </bottom>
      <diagonal/>
    </border>
    <border>
      <left/>
      <right/>
      <top style="medium">
        <color theme="0" tint="-0.34998626667073579"/>
      </top>
      <bottom/>
      <diagonal/>
    </border>
    <border>
      <left/>
      <right/>
      <top style="medium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theme="0" tint="-0.499984740745262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rgb="FFA5A5A5"/>
      </bottom>
      <diagonal/>
    </border>
    <border>
      <left/>
      <right/>
      <top style="thin">
        <color indexed="1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/>
      <top/>
      <bottom/>
      <diagonal/>
    </border>
    <border>
      <left/>
      <right style="medium">
        <color rgb="FFFFFFFF"/>
      </right>
      <top/>
      <bottom/>
      <diagonal/>
    </border>
    <border>
      <left/>
      <right/>
      <top/>
      <bottom style="medium">
        <color rgb="FFCFDDEE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0" fillId="0" borderId="0"/>
    <xf numFmtId="9" fontId="10" fillId="0" borderId="0" applyFont="0" applyFill="0" applyBorder="0" applyAlignment="0" applyProtection="0"/>
  </cellStyleXfs>
  <cellXfs count="88">
    <xf numFmtId="0" fontId="0" fillId="0" borderId="0" xfId="0"/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1" fillId="4" borderId="6" xfId="0" applyFont="1" applyFill="1" applyBorder="1"/>
    <xf numFmtId="0" fontId="6" fillId="0" borderId="6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64" fontId="6" fillId="0" borderId="3" xfId="0" applyNumberFormat="1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8" fillId="0" borderId="9" xfId="0" applyFont="1" applyBorder="1"/>
    <xf numFmtId="1" fontId="9" fillId="4" borderId="0" xfId="0" applyNumberFormat="1" applyFont="1" applyFill="1" applyAlignment="1">
      <alignment horizontal="center"/>
    </xf>
    <xf numFmtId="1" fontId="1" fillId="3" borderId="7" xfId="0" applyNumberFormat="1" applyFont="1" applyFill="1" applyBorder="1" applyAlignment="1">
      <alignment horizontal="center"/>
    </xf>
    <xf numFmtId="1" fontId="2" fillId="0" borderId="8" xfId="0" applyNumberFormat="1" applyFont="1" applyBorder="1" applyAlignment="1">
      <alignment horizontal="center" vertical="center"/>
    </xf>
    <xf numFmtId="0" fontId="0" fillId="0" borderId="10" xfId="0" applyBorder="1"/>
    <xf numFmtId="0" fontId="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14" fillId="0" borderId="0" xfId="0" applyFont="1"/>
    <xf numFmtId="0" fontId="5" fillId="5" borderId="0" xfId="0" applyFont="1" applyFill="1" applyAlignment="1">
      <alignment vertical="center"/>
    </xf>
    <xf numFmtId="0" fontId="0" fillId="5" borderId="0" xfId="0" applyFill="1"/>
    <xf numFmtId="0" fontId="6" fillId="0" borderId="0" xfId="0" applyFont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14" fillId="0" borderId="12" xfId="0" applyFont="1" applyBorder="1"/>
    <xf numFmtId="1" fontId="11" fillId="4" borderId="6" xfId="0" applyNumberFormat="1" applyFont="1" applyFill="1" applyBorder="1" applyAlignment="1">
      <alignment horizontal="center"/>
    </xf>
    <xf numFmtId="0" fontId="15" fillId="6" borderId="13" xfId="0" applyFont="1" applyFill="1" applyBorder="1" applyAlignment="1">
      <alignment horizontal="center" vertical="top" wrapText="1" readingOrder="1"/>
    </xf>
    <xf numFmtId="0" fontId="17" fillId="10" borderId="0" xfId="0" applyFont="1" applyFill="1" applyAlignment="1">
      <alignment vertical="center" wrapText="1"/>
    </xf>
    <xf numFmtId="0" fontId="17" fillId="10" borderId="0" xfId="0" applyFont="1" applyFill="1" applyAlignment="1">
      <alignment vertical="center"/>
    </xf>
    <xf numFmtId="0" fontId="17" fillId="10" borderId="11" xfId="0" applyFont="1" applyFill="1" applyBorder="1" applyAlignment="1">
      <alignment horizontal="center" vertical="center" wrapText="1" readingOrder="1"/>
    </xf>
    <xf numFmtId="0" fontId="18" fillId="0" borderId="0" xfId="0" applyFont="1"/>
    <xf numFmtId="0" fontId="19" fillId="0" borderId="0" xfId="0" applyFont="1"/>
    <xf numFmtId="49" fontId="14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0" fontId="24" fillId="0" borderId="13" xfId="0" applyFont="1" applyBorder="1" applyAlignment="1">
      <alignment horizontal="center" vertical="center" wrapText="1"/>
    </xf>
    <xf numFmtId="0" fontId="0" fillId="0" borderId="13" xfId="0" applyBorder="1"/>
    <xf numFmtId="0" fontId="6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/>
    </xf>
    <xf numFmtId="0" fontId="20" fillId="8" borderId="13" xfId="0" applyFont="1" applyFill="1" applyBorder="1" applyAlignment="1">
      <alignment horizontal="center" vertical="center" wrapText="1" readingOrder="1"/>
    </xf>
    <xf numFmtId="0" fontId="23" fillId="11" borderId="16" xfId="0" applyFont="1" applyFill="1" applyBorder="1" applyAlignment="1">
      <alignment horizontal="center" vertical="center"/>
    </xf>
    <xf numFmtId="0" fontId="20" fillId="9" borderId="13" xfId="0" applyFont="1" applyFill="1" applyBorder="1" applyAlignment="1">
      <alignment horizontal="center" vertical="center" wrapText="1"/>
    </xf>
    <xf numFmtId="0" fontId="27" fillId="0" borderId="13" xfId="0" applyFont="1" applyBorder="1"/>
    <xf numFmtId="0" fontId="24" fillId="9" borderId="13" xfId="0" applyFont="1" applyFill="1" applyBorder="1" applyAlignment="1">
      <alignment horizontal="center" vertical="center" wrapText="1"/>
    </xf>
    <xf numFmtId="0" fontId="24" fillId="0" borderId="13" xfId="0" applyFont="1" applyBorder="1" applyAlignment="1" applyProtection="1">
      <alignment horizontal="center" vertical="center" wrapText="1"/>
      <protection locked="0"/>
    </xf>
    <xf numFmtId="0" fontId="24" fillId="12" borderId="13" xfId="0" applyFont="1" applyFill="1" applyBorder="1" applyAlignment="1" applyProtection="1">
      <alignment horizontal="center" vertical="center" wrapText="1"/>
      <protection locked="0"/>
    </xf>
    <xf numFmtId="0" fontId="0" fillId="0" borderId="18" xfId="0" applyBorder="1"/>
    <xf numFmtId="0" fontId="0" fillId="0" borderId="17" xfId="0" applyBorder="1"/>
    <xf numFmtId="0" fontId="14" fillId="0" borderId="0" xfId="0" applyFont="1" applyAlignment="1">
      <alignment horizontal="right"/>
    </xf>
    <xf numFmtId="17" fontId="14" fillId="0" borderId="0" xfId="0" applyNumberFormat="1" applyFont="1" applyAlignment="1">
      <alignment horizontal="righ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22" fillId="11" borderId="16" xfId="0" applyFont="1" applyFill="1" applyBorder="1" applyAlignment="1">
      <alignment horizontal="center" vertical="center"/>
    </xf>
    <xf numFmtId="14" fontId="23" fillId="0" borderId="13" xfId="0" applyNumberFormat="1" applyFont="1" applyBorder="1" applyAlignment="1">
      <alignment vertical="center"/>
    </xf>
    <xf numFmtId="14" fontId="25" fillId="0" borderId="13" xfId="0" applyNumberFormat="1" applyFont="1" applyBorder="1" applyAlignment="1">
      <alignment horizontal="center" vertical="center"/>
    </xf>
    <xf numFmtId="0" fontId="26" fillId="0" borderId="13" xfId="0" applyFont="1" applyBorder="1" applyAlignment="1">
      <alignment horizontal="center" vertical="center" wrapText="1"/>
    </xf>
    <xf numFmtId="0" fontId="20" fillId="12" borderId="13" xfId="0" applyFont="1" applyFill="1" applyBorder="1" applyAlignment="1">
      <alignment horizontal="center" vertical="center" wrapText="1" readingOrder="1"/>
    </xf>
    <xf numFmtId="0" fontId="28" fillId="0" borderId="13" xfId="0" applyFont="1" applyBorder="1" applyAlignment="1">
      <alignment horizontal="center" vertical="center" wrapText="1"/>
    </xf>
    <xf numFmtId="14" fontId="26" fillId="12" borderId="13" xfId="0" applyNumberFormat="1" applyFont="1" applyFill="1" applyBorder="1" applyAlignment="1">
      <alignment horizontal="center" vertical="center" wrapText="1"/>
    </xf>
    <xf numFmtId="0" fontId="0" fillId="0" borderId="13" xfId="0" applyBorder="1" applyAlignment="1">
      <alignment wrapText="1"/>
    </xf>
    <xf numFmtId="14" fontId="23" fillId="0" borderId="13" xfId="0" applyNumberFormat="1" applyFont="1" applyBorder="1" applyAlignment="1">
      <alignment horizontal="center" vertical="center"/>
    </xf>
    <xf numFmtId="0" fontId="29" fillId="8" borderId="13" xfId="0" applyFont="1" applyFill="1" applyBorder="1" applyAlignment="1">
      <alignment horizontal="center" vertical="center" wrapText="1" readingOrder="1"/>
    </xf>
    <xf numFmtId="0" fontId="0" fillId="0" borderId="0" xfId="0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23" fillId="11" borderId="16" xfId="0" applyFont="1" applyFill="1" applyBorder="1" applyAlignment="1">
      <alignment horizontal="center"/>
    </xf>
    <xf numFmtId="0" fontId="6" fillId="0" borderId="3" xfId="0" applyFont="1" applyBorder="1" applyAlignment="1">
      <alignment horizontal="left" vertical="center" wrapText="1"/>
    </xf>
    <xf numFmtId="0" fontId="7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7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/>
    </xf>
    <xf numFmtId="0" fontId="17" fillId="10" borderId="1" xfId="0" applyFont="1" applyFill="1" applyBorder="1" applyAlignment="1">
      <alignment horizontal="center" vertical="center"/>
    </xf>
    <xf numFmtId="0" fontId="11" fillId="2" borderId="2" xfId="0" applyFont="1" applyFill="1" applyBorder="1" applyAlignment="1">
      <alignment horizontal="center" vertical="center"/>
    </xf>
    <xf numFmtId="0" fontId="9" fillId="0" borderId="6" xfId="0" applyFont="1" applyBorder="1" applyAlignment="1">
      <alignment horizontal="left" vertical="center"/>
    </xf>
    <xf numFmtId="164" fontId="7" fillId="0" borderId="6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/>
    </xf>
    <xf numFmtId="164" fontId="7" fillId="0" borderId="3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/>
    </xf>
    <xf numFmtId="1" fontId="11" fillId="4" borderId="6" xfId="0" applyNumberFormat="1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 wrapText="1"/>
    </xf>
    <xf numFmtId="1" fontId="11" fillId="4" borderId="3" xfId="0" applyNumberFormat="1" applyFont="1" applyFill="1" applyBorder="1" applyAlignment="1">
      <alignment horizontal="center"/>
    </xf>
    <xf numFmtId="0" fontId="1" fillId="3" borderId="7" xfId="0" applyFont="1" applyFill="1" applyBorder="1" applyAlignment="1">
      <alignment horizontal="right"/>
    </xf>
    <xf numFmtId="1" fontId="12" fillId="3" borderId="7" xfId="0" applyNumberFormat="1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17" fillId="10" borderId="0" xfId="0" applyFont="1" applyFill="1" applyAlignment="1">
      <alignment horizontal="center" vertical="center"/>
    </xf>
    <xf numFmtId="0" fontId="21" fillId="7" borderId="14" xfId="0" applyFont="1" applyFill="1" applyBorder="1" applyAlignment="1">
      <alignment horizontal="left" vertical="top" wrapText="1" readingOrder="1"/>
    </xf>
    <xf numFmtId="0" fontId="21" fillId="7" borderId="0" xfId="0" applyFont="1" applyFill="1" applyAlignment="1">
      <alignment horizontal="left" vertical="top" wrapText="1" readingOrder="1"/>
    </xf>
    <xf numFmtId="0" fontId="21" fillId="7" borderId="15" xfId="0" applyFont="1" applyFill="1" applyBorder="1" applyAlignment="1">
      <alignment horizontal="left" vertical="top" wrapText="1" readingOrder="1"/>
    </xf>
  </cellXfs>
  <cellStyles count="3">
    <cellStyle name="Normal" xfId="0" builtinId="0"/>
    <cellStyle name="Normal 2" xfId="1" xr:uid="{00000000-0005-0000-0000-000001000000}"/>
    <cellStyle name="Pourcentage 2" xfId="2" xr:uid="{00000000-0005-0000-0000-000002000000}"/>
  </cellStyles>
  <dxfs count="104">
    <dxf>
      <font>
        <b/>
        <i val="0"/>
        <color rgb="FFFFFFFF"/>
      </font>
      <fill>
        <patternFill patternType="solid">
          <fgColor indexed="64"/>
          <bgColor rgb="FF51CF66"/>
        </patternFill>
      </fill>
    </dxf>
    <dxf>
      <font>
        <b/>
        <i val="0"/>
        <color rgb="FFFFFFFF"/>
      </font>
      <fill>
        <patternFill patternType="solid">
          <fgColor indexed="64"/>
          <bgColor rgb="FFFF6B6B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scheme val="minor"/>
      </font>
    </dxf>
    <dxf>
      <border diagonalUp="0" diagonalDown="0">
        <left style="thin">
          <color rgb="FF0000FF"/>
        </left>
        <right style="thin">
          <color rgb="FF0000FF"/>
        </right>
        <top style="thin">
          <color rgb="FF0000FF"/>
        </top>
        <bottom style="thin">
          <color rgb="FF0000FF"/>
        </bottom>
      </border>
    </dxf>
    <dxf>
      <font>
        <strike val="0"/>
        <outline val="0"/>
        <shadow val="0"/>
        <u val="none"/>
        <vertAlign val="baseline"/>
        <sz val="12"/>
        <color rgb="FF000000"/>
        <name val="Calibri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none"/>
      </font>
      <fill>
        <patternFill patternType="solid">
          <fgColor indexed="64"/>
          <bgColor theme="7" tint="-0.249977111117893"/>
        </patternFill>
      </fill>
      <alignment horizontal="general" vertical="center" textRotation="0" wrapText="0" relativeIndent="0" justifyLastLine="0" shrinkToFit="0" readingOrder="0"/>
    </dxf>
  </dxfs>
  <tableStyles count="0" defaultTableStyle="TableStyleMedium9" defaultPivotStyle="PivotStyleLight16"/>
  <colors>
    <mruColors>
      <color rgb="FFFFCC66"/>
      <color rgb="FFFFCC00"/>
      <color rgb="FF0DB39F"/>
      <color rgb="FFFFFFFF"/>
      <color rgb="FF0FADB1"/>
      <color rgb="FF99FFCC"/>
      <color rgb="FF66FF99"/>
      <color rgb="FF10B4B8"/>
      <color rgb="FF1FB7A9"/>
      <color rgb="FF0CA89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Communication (2)'!$A$3</c:f>
              <c:strCache>
                <c:ptCount val="1"/>
                <c:pt idx="0">
                  <c:v>Toolbox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(2)'!$B$3:$M$3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E42C-44DF-9098-38BE4CC35851}"/>
            </c:ext>
          </c:extLst>
        </c:ser>
        <c:ser>
          <c:idx val="1"/>
          <c:order val="1"/>
          <c:tx>
            <c:strRef>
              <c:f>'EHS Communication (2)'!$A$4</c:f>
              <c:strCache>
                <c:ptCount val="1"/>
                <c:pt idx="0">
                  <c:v>EHS Meeting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(2)'!$B$4:$M$4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E42C-44DF-9098-38BE4CC35851}"/>
            </c:ext>
          </c:extLst>
        </c:ser>
        <c:ser>
          <c:idx val="2"/>
          <c:order val="2"/>
          <c:tx>
            <c:strRef>
              <c:f>'EHS Communication (2)'!$A$5</c:f>
              <c:strCache>
                <c:ptCount val="1"/>
                <c:pt idx="0">
                  <c:v>Site Induction Trainning/body count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(2)'!$B$5:$M$5</c:f>
              <c:numCache>
                <c:formatCode>@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E42C-44DF-9098-38BE4CC35851}"/>
            </c:ext>
          </c:extLst>
        </c:ser>
        <c:ser>
          <c:idx val="3"/>
          <c:order val="3"/>
          <c:tx>
            <c:strRef>
              <c:f>'EHS Communication (2)'!$A$6</c:f>
              <c:strCache>
                <c:ptCount val="1"/>
                <c:pt idx="0">
                  <c:v>Site Inspection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(2)'!$B$6:$M$6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E42C-44DF-9098-38BE4CC35851}"/>
            </c:ext>
          </c:extLst>
        </c:ser>
        <c:ser>
          <c:idx val="4"/>
          <c:order val="4"/>
          <c:tx>
            <c:strRef>
              <c:f>'EHS Communication (2)'!$A$7</c:f>
              <c:strCache>
                <c:ptCount val="1"/>
                <c:pt idx="0">
                  <c:v>EHS Awards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(2)'!$B$7:$M$7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005E-4606-B604-EB5A990F5E93}"/>
            </c:ext>
          </c:extLst>
        </c:ser>
        <c:ser>
          <c:idx val="5"/>
          <c:order val="5"/>
          <c:tx>
            <c:strRef>
              <c:f>'EHS Communication (2)'!$A$8</c:f>
              <c:strCache>
                <c:ptCount val="1"/>
                <c:pt idx="0">
                  <c:v>SWAT(DIV/BU)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(2)'!$B$8:$M$8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005E-4606-B604-EB5A990F5E93}"/>
            </c:ext>
          </c:extLst>
        </c:ser>
        <c:ser>
          <c:idx val="6"/>
          <c:order val="6"/>
          <c:tx>
            <c:strRef>
              <c:f>'EHS Communication (2)'!$A$9</c:f>
              <c:strCache>
                <c:ptCount val="1"/>
                <c:pt idx="0">
                  <c:v>Work Permit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(2)'!$B$9:$M$9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005E-4606-B604-EB5A990F5E93}"/>
            </c:ext>
          </c:extLst>
        </c:ser>
        <c:ser>
          <c:idx val="7"/>
          <c:order val="7"/>
          <c:tx>
            <c:strRef>
              <c:f>'EHS Communication (2)'!$A$10</c:f>
              <c:strCache>
                <c:ptCount val="1"/>
                <c:pt idx="0">
                  <c:v>Onsite EHS Induction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'EHS Communication (2)'!$B$2:$M$2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Communication (2)'!$B$10:$M$10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005E-4606-B604-EB5A990F5E9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98112"/>
        <c:axId val="123912192"/>
      </c:barChart>
      <c:catAx>
        <c:axId val="123898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3912192"/>
        <c:crosses val="autoZero"/>
        <c:auto val="1"/>
        <c:lblAlgn val="ctr"/>
        <c:lblOffset val="100"/>
        <c:noMultiLvlLbl val="0"/>
      </c:catAx>
      <c:valAx>
        <c:axId val="1239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8981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8910962557312281"/>
          <c:y val="7.3404047634541544E-2"/>
          <c:w val="0.20960770667186199"/>
          <c:h val="0.76818562968885085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3533594768297865E-2"/>
          <c:y val="5.7154756481886046E-2"/>
          <c:w val="0.73487915905399204"/>
          <c:h val="0.82926010281772633"/>
        </c:manualLayout>
      </c:layout>
      <c:barChart>
        <c:barDir val="col"/>
        <c:grouping val="stacked"/>
        <c:varyColors val="0"/>
        <c:ser>
          <c:idx val="7"/>
          <c:order val="0"/>
          <c:tx>
            <c:strRef>
              <c:f>'EHS Incıdent'!$A$10</c:f>
              <c:strCache>
                <c:ptCount val="1"/>
                <c:pt idx="0">
                  <c:v>Environmental Event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Incıdent'!$B$10:$M$10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2AC-4013-889A-FFD114880719}"/>
            </c:ext>
          </c:extLst>
        </c:ser>
        <c:ser>
          <c:idx val="6"/>
          <c:order val="1"/>
          <c:tx>
            <c:strRef>
              <c:f>'EHS Incıdent'!$A$9</c:f>
              <c:strCache>
                <c:ptCount val="1"/>
                <c:pt idx="0">
                  <c:v>Travel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Incıdent'!$B$9:$M$9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2AC-4013-889A-FFD114880719}"/>
            </c:ext>
          </c:extLst>
        </c:ser>
        <c:ser>
          <c:idx val="5"/>
          <c:order val="2"/>
          <c:tx>
            <c:strRef>
              <c:f>'EHS Incıdent'!$A$8</c:f>
              <c:strCache>
                <c:ptCount val="1"/>
                <c:pt idx="0">
                  <c:v>Damage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Incıdent'!$B$8:$M$8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2AC-4013-889A-FFD114880719}"/>
            </c:ext>
          </c:extLst>
        </c:ser>
        <c:ser>
          <c:idx val="4"/>
          <c:order val="3"/>
          <c:tx>
            <c:strRef>
              <c:f>'EHS Incıdent'!$A$7</c:f>
              <c:strCache>
                <c:ptCount val="1"/>
                <c:pt idx="0">
                  <c:v>First Aid Case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Incıdent'!$B$7:$M$7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2AC-4013-889A-FFD114880719}"/>
            </c:ext>
          </c:extLst>
        </c:ser>
        <c:ser>
          <c:idx val="3"/>
          <c:order val="4"/>
          <c:tx>
            <c:strRef>
              <c:f>'EHS Incıdent'!$A$6</c:f>
              <c:strCache>
                <c:ptCount val="1"/>
                <c:pt idx="0">
                  <c:v>Medical Treatment Case</c:v>
                </c:pt>
              </c:strCache>
            </c:strRef>
          </c:tx>
          <c:spPr>
            <a:solidFill>
              <a:srgbClr val="FFCC66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Incıdent'!$B$6:$M$6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2AC-4013-889A-FFD114880719}"/>
            </c:ext>
          </c:extLst>
        </c:ser>
        <c:ser>
          <c:idx val="2"/>
          <c:order val="5"/>
          <c:tx>
            <c:strRef>
              <c:f>'EHS Incıdent'!$A$5</c:f>
              <c:strCache>
                <c:ptCount val="1"/>
                <c:pt idx="0">
                  <c:v>Restricted Work Case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Incıdent'!$B$5:$M$5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2AC-4013-889A-FFD114880719}"/>
            </c:ext>
          </c:extLst>
        </c:ser>
        <c:ser>
          <c:idx val="1"/>
          <c:order val="6"/>
          <c:tx>
            <c:strRef>
              <c:f>'EHS Incıdent'!$A$4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rgbClr val="C0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Incıdent'!$B$4:$M$4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2AC-4013-889A-FFD114880719}"/>
            </c:ext>
          </c:extLst>
        </c:ser>
        <c:ser>
          <c:idx val="0"/>
          <c:order val="7"/>
          <c:tx>
            <c:strRef>
              <c:f>'EHS Incıdent'!$A$3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chemeClr val="tx1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Incıdent'!$B$3:$M$3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2AC-4013-889A-FFD11488071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943104"/>
        <c:axId val="134944640"/>
      </c:barChart>
      <c:catAx>
        <c:axId val="13494310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944640"/>
        <c:crosses val="autoZero"/>
        <c:auto val="1"/>
        <c:lblAlgn val="ctr"/>
        <c:lblOffset val="100"/>
        <c:noMultiLvlLbl val="0"/>
      </c:catAx>
      <c:valAx>
        <c:axId val="13494464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4310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7795504071240279"/>
          <c:y val="9.8283633062255987E-2"/>
          <c:w val="0.16821890734822456"/>
          <c:h val="0.72698495093944648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4.4239171563745593E-2"/>
          <c:y val="2.7628843340301565E-2"/>
          <c:w val="0.81555087635436396"/>
          <c:h val="0.8363138441531032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'EHS Incıdent'!$O$3</c:f>
              <c:strCache>
                <c:ptCount val="1"/>
                <c:pt idx="0">
                  <c:v>Lost Time Case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Incıdent'!$P$2:$AA$2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Incıdent'!$P$3:$AA$3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7E-4F33-88CB-B316406AB8CB}"/>
            </c:ext>
          </c:extLst>
        </c:ser>
        <c:ser>
          <c:idx val="1"/>
          <c:order val="1"/>
          <c:tx>
            <c:strRef>
              <c:f>'EHS Incıdent'!$O$4</c:f>
              <c:strCache>
                <c:ptCount val="1"/>
                <c:pt idx="0">
                  <c:v>Lost Time Date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Incıdent'!$P$2:$AA$2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Incıdent'!$P$4:$AA$4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7E-4F33-88CB-B316406AB8C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4982272"/>
        <c:axId val="134992256"/>
      </c:barChart>
      <c:catAx>
        <c:axId val="1349822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4992256"/>
        <c:crosses val="autoZero"/>
        <c:auto val="1"/>
        <c:lblAlgn val="ctr"/>
        <c:lblOffset val="100"/>
        <c:noMultiLvlLbl val="0"/>
      </c:catAx>
      <c:valAx>
        <c:axId val="13499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498227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3177183471666788E-2"/>
          <c:y val="7.3925327834836879E-2"/>
          <c:w val="0.80804120894184372"/>
          <c:h val="0.8340191994308708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'EHS Incıdent'!$A$33</c:f>
              <c:strCache>
                <c:ptCount val="1"/>
                <c:pt idx="0">
                  <c:v>Near Mıss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Incıdent'!$B$32:$M$32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Incıdent'!$B$33:$M$33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C-4540-803A-71620F6E4AC9}"/>
            </c:ext>
          </c:extLst>
        </c:ser>
        <c:ser>
          <c:idx val="1"/>
          <c:order val="1"/>
          <c:tx>
            <c:strRef>
              <c:f>'EHS Incıdent'!$A$34</c:f>
              <c:strCache>
                <c:ptCount val="1"/>
                <c:pt idx="0">
                  <c:v>Unsafe Condution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Incıdent'!$B$32:$M$32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Incıdent'!$B$34:$M$34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5C-4540-803A-71620F6E4AC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135095424"/>
        <c:axId val="135096960"/>
      </c:barChart>
      <c:catAx>
        <c:axId val="135095424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5096960"/>
        <c:crosses val="autoZero"/>
        <c:auto val="1"/>
        <c:lblAlgn val="ctr"/>
        <c:lblOffset val="100"/>
        <c:noMultiLvlLbl val="0"/>
      </c:catAx>
      <c:valAx>
        <c:axId val="135096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09542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3682046175096281"/>
          <c:y val="0.41868278094528566"/>
          <c:w val="0.12888157469062347"/>
          <c:h val="0.16263443810942857"/>
        </c:manualLayout>
      </c:layout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Incıdent'!$O$33</c:f>
              <c:strCache>
                <c:ptCount val="1"/>
                <c:pt idx="0">
                  <c:v>Completed</c:v>
                </c:pt>
              </c:strCache>
            </c:strRef>
          </c:tx>
          <c:spPr>
            <a:solidFill>
              <a:srgbClr val="00B0F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Incıdent'!$P$32:$AA$32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Incıdent'!$P$33:$AA$33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D25-4330-8E7F-9AE93C41F6AF}"/>
            </c:ext>
          </c:extLst>
        </c:ser>
        <c:ser>
          <c:idx val="1"/>
          <c:order val="1"/>
          <c:tx>
            <c:strRef>
              <c:f>'EHS Incıdent'!$O$34</c:f>
              <c:strCache>
                <c:ptCount val="1"/>
                <c:pt idx="0">
                  <c:v>Holding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Incıdent'!$P$32:$AA$32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Incıdent'!$P$34:$AA$34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D25-4330-8E7F-9AE93C41F6AF}"/>
            </c:ext>
          </c:extLst>
        </c:ser>
        <c:ser>
          <c:idx val="2"/>
          <c:order val="2"/>
          <c:tx>
            <c:strRef>
              <c:f>'EHS Incıdent'!$O$35</c:f>
              <c:strCache>
                <c:ptCount val="1"/>
                <c:pt idx="0">
                  <c:v>Incompleted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'EHS Incıdent'!$P$32:$AA$32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'EHS Incıdent'!$P$35:$AA$35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9D25-4330-8E7F-9AE93C41F6A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5136000"/>
        <c:axId val="135137536"/>
      </c:barChart>
      <c:catAx>
        <c:axId val="135136000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35137536"/>
        <c:crosses val="autoZero"/>
        <c:auto val="1"/>
        <c:lblAlgn val="ctr"/>
        <c:lblOffset val="100"/>
        <c:noMultiLvlLbl val="0"/>
      </c:catAx>
      <c:valAx>
        <c:axId val="13513753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51360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10"/>
    </mc:Choice>
    <mc:Fallback>
      <c:style val="10"/>
    </mc:Fallback>
  </mc:AlternateContent>
  <c:chart>
    <c:autoTitleDeleted val="1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5.8063702735848934E-3"/>
          <c:y val="0.12251308900523562"/>
          <c:w val="0.70935460578344733"/>
          <c:h val="0.5672512401918347"/>
        </c:manualLayout>
      </c:layout>
      <c:pie3DChart>
        <c:varyColors val="1"/>
        <c:dLbls>
          <c:showLegendKey val="0"/>
          <c:showVal val="1"/>
          <c:showCatName val="0"/>
          <c:showSerName val="0"/>
          <c:showPercent val="0"/>
          <c:showBubbleSize val="0"/>
          <c:showLeaderLines val="0"/>
        </c:dLbls>
      </c:pie3DChart>
    </c:plotArea>
    <c:plotVisOnly val="1"/>
    <c:dispBlanksAs val="zero"/>
    <c:showDLblsOverMax val="0"/>
  </c:chart>
  <c:spPr>
    <a:noFill/>
    <a:ln>
      <a:noFill/>
    </a:ln>
  </c:sp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tr-TR"/>
              <a:t>FY 26</a:t>
            </a:r>
            <a:r>
              <a:rPr lang="en-US" baseline="0"/>
              <a:t> </a:t>
            </a:r>
            <a:r>
              <a:rPr lang="en-US"/>
              <a:t>Manhours </a:t>
            </a:r>
            <a:r>
              <a:rPr lang="en-US" baseline="0"/>
              <a:t>&amp; KPIs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'EHS KPI'!$A$12:$B$12</c:f>
              <c:strCache>
                <c:ptCount val="2"/>
                <c:pt idx="0">
                  <c:v>Manhours Siemens Enerji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'EHS KPI'!$C$11:$N$11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Febr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'EHS KPI'!$C$12:$N$12</c:f>
              <c:numCache>
                <c:formatCode>0</c:formatCode>
                <c:ptCount val="12"/>
                <c:pt idx="0">
                  <c:v>208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B-452D-B04A-420C3AC1A227}"/>
            </c:ext>
          </c:extLst>
        </c:ser>
        <c:ser>
          <c:idx val="2"/>
          <c:order val="1"/>
          <c:tx>
            <c:strRef>
              <c:f>'EHS KPI'!$A$13</c:f>
              <c:strCache>
                <c:ptCount val="1"/>
                <c:pt idx="0">
                  <c:v>Manhours Subcontractors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'EHS KPI'!$C$11:$N$11</c:f>
              <c:strCache>
                <c:ptCount val="12"/>
                <c:pt idx="0">
                  <c:v>Jun</c:v>
                </c:pt>
                <c:pt idx="1">
                  <c:v>Jul</c:v>
                </c:pt>
                <c:pt idx="2">
                  <c:v>Aug</c:v>
                </c:pt>
                <c:pt idx="3">
                  <c:v>Sep</c:v>
                </c:pt>
                <c:pt idx="4">
                  <c:v>Oct</c:v>
                </c:pt>
                <c:pt idx="5">
                  <c:v>Nov</c:v>
                </c:pt>
                <c:pt idx="6">
                  <c:v>Dec</c:v>
                </c:pt>
                <c:pt idx="7">
                  <c:v>Jan</c:v>
                </c:pt>
                <c:pt idx="8">
                  <c:v>Febr</c:v>
                </c:pt>
                <c:pt idx="9">
                  <c:v>Mar</c:v>
                </c:pt>
                <c:pt idx="10">
                  <c:v>Apr</c:v>
                </c:pt>
                <c:pt idx="11">
                  <c:v>May</c:v>
                </c:pt>
              </c:strCache>
            </c:strRef>
          </c:cat>
          <c:val>
            <c:numRef>
              <c:f>'EHS KPI'!$C$13:$N$13</c:f>
              <c:numCache>
                <c:formatCode>0</c:formatCode>
                <c:ptCount val="12"/>
                <c:pt idx="0">
                  <c:v>2296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B-452D-B04A-420C3AC1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5"/>
        <c:overlap val="100"/>
        <c:axId val="152834048"/>
        <c:axId val="152835968"/>
      </c:barChart>
      <c:lineChart>
        <c:grouping val="standard"/>
        <c:varyColors val="0"/>
        <c:ser>
          <c:idx val="3"/>
          <c:order val="2"/>
          <c:tx>
            <c:strRef>
              <c:f>'EHS KPI'!$A$30</c:f>
              <c:strCache>
                <c:ptCount val="1"/>
                <c:pt idx="0">
                  <c:v>Accident Frequency Rate</c:v>
                </c:pt>
              </c:strCache>
            </c:strRef>
          </c:tx>
          <c:spPr>
            <a:ln w="28575" cap="rnd" cmpd="sng" algn="ctr">
              <a:solidFill>
                <a:schemeClr val="accent4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 cap="flat" cmpd="sng" algn="ctr">
                <a:solidFill>
                  <a:schemeClr val="accent4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'EHS KPI'!#REF!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'EHS KPI'!$C$30:$N$30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B-452D-B04A-420C3AC1A227}"/>
            </c:ext>
          </c:extLst>
        </c:ser>
        <c:ser>
          <c:idx val="4"/>
          <c:order val="3"/>
          <c:tx>
            <c:strRef>
              <c:f>'EHS KPI'!$A$31</c:f>
              <c:strCache>
                <c:ptCount val="1"/>
                <c:pt idx="0">
                  <c:v>Total Recordable Injury Rate</c:v>
                </c:pt>
              </c:strCache>
            </c:strRef>
          </c:tx>
          <c:spPr>
            <a:ln w="28575" cap="rnd" cmpd="sng" algn="ctr">
              <a:solidFill>
                <a:schemeClr val="accent5"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 cap="flat" cmpd="sng" algn="ctr">
                <a:solidFill>
                  <a:schemeClr val="accent5">
                    <a:shade val="95000"/>
                    <a:satMod val="105000"/>
                  </a:schemeClr>
                </a:solidFill>
                <a:prstDash val="solid"/>
                <a:round/>
              </a:ln>
              <a:effectLst/>
            </c:spPr>
          </c:marker>
          <c:cat>
            <c:strRef>
              <c:f>'EHS KPI'!#REF!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'EHS KPI'!$C$31:$N$31</c:f>
              <c:numCache>
                <c:formatCode>0.0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B-452D-B04A-420C3AC1A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843392"/>
        <c:axId val="152837504"/>
      </c:lineChart>
      <c:catAx>
        <c:axId val="15283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5968"/>
        <c:crosses val="autoZero"/>
        <c:auto val="1"/>
        <c:lblAlgn val="ctr"/>
        <c:lblOffset val="100"/>
        <c:noMultiLvlLbl val="0"/>
      </c:catAx>
      <c:valAx>
        <c:axId val="152835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tint val="75000"/>
                  <a:shade val="95000"/>
                  <a:satMod val="105000"/>
                </a:schemeClr>
              </a:solidFill>
              <a:prstDash val="solid"/>
              <a:round/>
            </a:ln>
            <a:effectLst/>
          </c:spPr>
        </c:majorGridlines>
        <c:numFmt formatCode="0" sourceLinked="1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34048"/>
        <c:crosses val="autoZero"/>
        <c:crossBetween val="between"/>
      </c:valAx>
      <c:valAx>
        <c:axId val="152837504"/>
        <c:scaling>
          <c:orientation val="minMax"/>
        </c:scaling>
        <c:delete val="0"/>
        <c:axPos val="r"/>
        <c:numFmt formatCode="0.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tint val="75000"/>
                <a:shade val="95000"/>
                <a:satMod val="105000"/>
              </a:schemeClr>
            </a:solidFill>
            <a:prstDash val="solid"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843392"/>
        <c:crosses val="max"/>
        <c:crossBetween val="between"/>
      </c:valAx>
      <c:catAx>
        <c:axId val="1528433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52837504"/>
        <c:crosses val="autoZero"/>
        <c:auto val="1"/>
        <c:lblAlgn val="ctr"/>
        <c:lblOffset val="100"/>
        <c:noMultiLvlLbl val="0"/>
      </c:catAx>
      <c:spPr>
        <a:solidFill>
          <a:schemeClr val="bg1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  <a:effectLst/>
    <a:scene3d>
      <a:camera prst="orthographicFront"/>
      <a:lightRig rig="threePt" dir="t"/>
    </a:scene3d>
    <a:sp3d prstMaterial="powder"/>
  </c:spPr>
  <c:txPr>
    <a:bodyPr/>
    <a:lstStyle/>
    <a:p>
      <a:pPr>
        <a:defRPr/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Environmental!$A$3</c:f>
              <c:strCache>
                <c:ptCount val="1"/>
                <c:pt idx="0">
                  <c:v>Water Consumption</c:v>
                </c:pt>
              </c:strCache>
            </c:strRef>
          </c:tx>
          <c:spPr>
            <a:solidFill>
              <a:srgbClr val="FFFF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Environmental!$B$3:$M$3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0-90BC-4DF0-9434-F316E6A510B4}"/>
            </c:ext>
          </c:extLst>
        </c:ser>
        <c:ser>
          <c:idx val="1"/>
          <c:order val="1"/>
          <c:tx>
            <c:strRef>
              <c:f>Environmental!$A$4</c:f>
              <c:strCache>
                <c:ptCount val="1"/>
                <c:pt idx="0">
                  <c:v>Electricity Comsuption</c:v>
                </c:pt>
              </c:strCache>
            </c:strRef>
          </c:tx>
          <c:spPr>
            <a:solidFill>
              <a:srgbClr val="00B05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Environmental!$B$4:$M$4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90BC-4DF0-9434-F316E6A510B4}"/>
            </c:ext>
          </c:extLst>
        </c:ser>
        <c:ser>
          <c:idx val="2"/>
          <c:order val="2"/>
          <c:tx>
            <c:strRef>
              <c:f>Environmental!$A$5</c:f>
              <c:strCache>
                <c:ptCount val="1"/>
                <c:pt idx="0">
                  <c:v>Domestic Waste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Environmental!$B$5:$M$5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90BC-4DF0-9434-F316E6A510B4}"/>
            </c:ext>
          </c:extLst>
        </c:ser>
        <c:ser>
          <c:idx val="3"/>
          <c:order val="3"/>
          <c:tx>
            <c:strRef>
              <c:f>Environmental!$A$6</c:f>
              <c:strCache>
                <c:ptCount val="1"/>
                <c:pt idx="0">
                  <c:v>Plastic Waste</c:v>
                </c:pt>
              </c:strCache>
            </c:strRef>
          </c:tx>
          <c:spPr>
            <a:solidFill>
              <a:srgbClr val="7030A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Environmental!$B$6:$M$6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3-90BC-4DF0-9434-F316E6A510B4}"/>
            </c:ext>
          </c:extLst>
        </c:ser>
        <c:ser>
          <c:idx val="4"/>
          <c:order val="4"/>
          <c:tx>
            <c:strRef>
              <c:f>Environmental!$A$7</c:f>
              <c:strCache>
                <c:ptCount val="1"/>
                <c:pt idx="0">
                  <c:v>Metal Waste</c:v>
                </c:pt>
              </c:strCache>
            </c:strRef>
          </c:tx>
          <c:spPr>
            <a:solidFill>
              <a:srgbClr val="FF000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Environmental!$B$7:$M$7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4-90BC-4DF0-9434-F316E6A510B4}"/>
            </c:ext>
          </c:extLst>
        </c:ser>
        <c:ser>
          <c:idx val="5"/>
          <c:order val="5"/>
          <c:tx>
            <c:strRef>
              <c:f>Environmental!$A$8</c:f>
              <c:strCache>
                <c:ptCount val="1"/>
                <c:pt idx="0">
                  <c:v>Paper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Environmental!$B$8:$M$8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1837-4491-8DB4-3D6EA862F40E}"/>
            </c:ext>
          </c:extLst>
        </c:ser>
        <c:ser>
          <c:idx val="6"/>
          <c:order val="6"/>
          <c:tx>
            <c:strRef>
              <c:f>Environmental!$A$9</c:f>
              <c:strCache>
                <c:ptCount val="1"/>
                <c:pt idx="0">
                  <c:v>Glass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Environmental!$B$9:$M$9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1-AD05-42F1-AD7C-A84869997056}"/>
            </c:ext>
          </c:extLst>
        </c:ser>
        <c:ser>
          <c:idx val="7"/>
          <c:order val="7"/>
          <c:tx>
            <c:strRef>
              <c:f>Environmental!$A$10</c:f>
              <c:strCache>
                <c:ptCount val="1"/>
                <c:pt idx="0">
                  <c:v>Danger Waste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Environmental!$B$2:$M$2</c:f>
              <c:strCache>
                <c:ptCount val="12"/>
                <c:pt idx="0">
                  <c:v>Jun'26</c:v>
                </c:pt>
                <c:pt idx="1">
                  <c:v>Jul'26</c:v>
                </c:pt>
                <c:pt idx="2">
                  <c:v>Aug'26</c:v>
                </c:pt>
                <c:pt idx="3">
                  <c:v>Sep'26</c:v>
                </c:pt>
                <c:pt idx="4">
                  <c:v>Oct'26</c:v>
                </c:pt>
                <c:pt idx="5">
                  <c:v>Nov'26</c:v>
                </c:pt>
                <c:pt idx="6">
                  <c:v>Dec'26</c:v>
                </c:pt>
                <c:pt idx="7">
                  <c:v>Jan'27</c:v>
                </c:pt>
                <c:pt idx="8">
                  <c:v>Feb'27</c:v>
                </c:pt>
                <c:pt idx="9">
                  <c:v>Mar'27</c:v>
                </c:pt>
                <c:pt idx="10">
                  <c:v>Apr'27</c:v>
                </c:pt>
                <c:pt idx="11">
                  <c:v>May'27</c:v>
                </c:pt>
              </c:strCache>
            </c:strRef>
          </c:cat>
          <c:val>
            <c:numRef>
              <c:f>Environmental!$B$10:$M$10</c:f>
              <c:numCache>
                <c:formatCode>General</c:formatCode>
                <c:ptCount val="12"/>
              </c:numCache>
            </c:numRef>
          </c:val>
          <c:extLst>
            <c:ext xmlns:c16="http://schemas.microsoft.com/office/drawing/2014/chart" uri="{C3380CC4-5D6E-409C-BE32-E72D297353CC}">
              <c16:uniqueId val="{00000002-AD05-42F1-AD7C-A8486999705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23898112"/>
        <c:axId val="123912192"/>
      </c:barChart>
      <c:catAx>
        <c:axId val="1238981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123912192"/>
        <c:crosses val="autoZero"/>
        <c:auto val="1"/>
        <c:lblAlgn val="ctr"/>
        <c:lblOffset val="100"/>
        <c:noMultiLvlLbl val="0"/>
      </c:catAx>
      <c:valAx>
        <c:axId val="12391219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238981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000000000000577" l="0.70000000000000062" r="0.70000000000000062" t="0.75000000000000577" header="0.30000000000000032" footer="0.3000000000000003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2">
  <cs:axisTitle>
    <cs:lnRef idx="0"/>
    <cs:fillRef idx="0"/>
    <cs:effectRef idx="0"/>
    <cs:fontRef idx="minor">
      <a:schemeClr val="tx1"/>
    </cs:fontRef>
    <cs:defRPr sz="1000" b="1" kern="1200"/>
  </cs:axisTitle>
  <cs:category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categoryAxis>
  <cs:chartArea mods="allowNoFillOverride allowNoLineOverride">
    <cs:lnRef idx="1">
      <a:schemeClr val="tx1">
        <a:tint val="75000"/>
      </a:schemeClr>
    </cs:lnRef>
    <cs:fillRef idx="1">
      <a:schemeClr val="bg1"/>
    </cs:fillRef>
    <cs:effectRef idx="0"/>
    <cs:fontRef idx="minor">
      <a:schemeClr val="tx1"/>
    </cs:fontRef>
    <cs:spPr>
      <a:ln>
        <a:round/>
      </a:ln>
    </cs:spPr>
    <cs:defRPr sz="1000" kern="1200"/>
  </cs:chartArea>
  <cs:dataLabel>
    <cs:lnRef idx="0"/>
    <cs:fillRef idx="0"/>
    <cs:effectRef idx="0"/>
    <cs:fontRef idx="minor">
      <a:schemeClr val="tx1"/>
    </cs:fontRef>
    <cs:defRPr sz="1000" kern="1200"/>
  </cs:dataLabel>
  <cs:dataLabelCallout>
    <cs:lnRef idx="0"/>
    <cs:fillRef idx="0"/>
    <cs:effectRef idx="0"/>
    <cs:fontRef idx="minor">
      <a:schemeClr val="dk1"/>
    </cs:fontRef>
    <cs:spPr>
      <a:solidFill>
        <a:schemeClr val="lt1"/>
      </a:solidFill>
      <a:ln>
        <a:solidFill>
          <a:schemeClr val="dk1">
            <a:lumMod val="65000"/>
            <a:lumOff val="35000"/>
          </a:schemeClr>
        </a:solidFill>
      </a:ln>
    </cs:spPr>
    <cs:defRPr sz="1000" kern="1200"/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1">
      <cs:styleClr val="auto"/>
    </cs:lnRef>
    <cs:lineWidthScale>3</cs:lineWidthScale>
    <cs:fillRef idx="0"/>
    <cs:effectRef idx="0"/>
    <cs:fontRef idx="minor">
      <a:schemeClr val="tx1"/>
    </cs:fontRef>
    <cs:spPr>
      <a:ln cap="rnd">
        <a:round/>
      </a:ln>
    </cs:spPr>
  </cs:dataPointLine>
  <cs:dataPointMarker>
    <cs:lnRef idx="1">
      <cs:styleClr val="auto"/>
    </cs:lnRef>
    <cs:fillRef idx="1">
      <cs:styleClr val="auto"/>
    </cs:fillRef>
    <cs:effectRef idx="0"/>
    <cs:fontRef idx="minor">
      <a:schemeClr val="tx1"/>
    </cs:fontRef>
    <cs:spPr>
      <a:ln>
        <a:round/>
      </a:ln>
    </cs:spPr>
  </cs:dataPointMarker>
  <cs:dataPointMarkerLayout/>
  <cs:dataPointWireframe>
    <cs:lnRef idx="1">
      <cs:styleClr val="auto"/>
    </cs:lnRef>
    <cs:fillRef idx="0"/>
    <cs:effectRef idx="0"/>
    <cs:fontRef idx="minor">
      <a:schemeClr val="tx1"/>
    </cs:fontRef>
    <cs:spPr>
      <a:ln>
        <a:round/>
      </a:ln>
    </cs:spPr>
  </cs:dataPointWireframe>
  <cs:dataTable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dataTable>
  <cs:downBar>
    <cs:lnRef idx="1">
      <a:schemeClr val="tx1"/>
    </cs:lnRef>
    <cs:fillRef idx="1">
      <a:schemeClr val="dk1">
        <a:tint val="95000"/>
      </a:schemeClr>
    </cs:fillRef>
    <cs:effectRef idx="0"/>
    <cs:fontRef idx="minor">
      <a:schemeClr val="tx1"/>
    </cs:fontRef>
    <cs:spPr>
      <a:ln>
        <a:round/>
      </a:ln>
    </cs:spPr>
  </cs:downBar>
  <cs:drop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dropLine>
  <cs:errorBar>
    <cs:lnRef idx="1">
      <a:schemeClr val="tx1"/>
    </cs:lnRef>
    <cs:fillRef idx="1">
      <a:schemeClr val="tx1"/>
    </cs:fillRef>
    <cs:effectRef idx="0"/>
    <cs:fontRef idx="minor">
      <a:schemeClr val="tx1"/>
    </cs:fontRef>
    <cs:spPr>
      <a:ln>
        <a:round/>
      </a:ln>
    </cs:spPr>
  </cs:errorBar>
  <cs:flo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floor>
  <cs:gridlineMajor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</cs:gridlineMajor>
  <cs:gridlineMinor>
    <cs:lnRef idx="1">
      <a:schemeClr val="tx1">
        <a:tint val="50000"/>
      </a:schemeClr>
    </cs:lnRef>
    <cs:fillRef idx="0"/>
    <cs:effectRef idx="0"/>
    <cs:fontRef idx="minor">
      <a:schemeClr val="tx1"/>
    </cs:fontRef>
    <cs:spPr>
      <a:ln>
        <a:round/>
      </a:ln>
    </cs:spPr>
  </cs:gridlineMinor>
  <cs:hiLo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hiLoLine>
  <cs:leader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leaderLine>
  <cs:legend>
    <cs:lnRef idx="0"/>
    <cs:fillRef idx="0"/>
    <cs:effectRef idx="0"/>
    <cs:fontRef idx="minor">
      <a:schemeClr val="tx1"/>
    </cs:fontRef>
    <cs:defRPr sz="1000" kern="1200"/>
  </cs:legend>
  <cs:plotArea mods="allowNoFillOverride allowNoLineOverride">
    <cs:lnRef idx="0"/>
    <cs:fillRef idx="1">
      <a:schemeClr val="bg1"/>
    </cs:fillRef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seriesAxis>
  <cs:seriesLine>
    <cs:lnRef idx="1">
      <a:schemeClr val="tx1"/>
    </cs:lnRef>
    <cs:fillRef idx="0"/>
    <cs:effectRef idx="0"/>
    <cs:fontRef idx="minor">
      <a:schemeClr val="tx1"/>
    </cs:fontRef>
    <cs:spPr>
      <a:ln>
        <a:round/>
      </a:ln>
    </cs:spPr>
  </cs:seriesLine>
  <cs:title>
    <cs:lnRef idx="0"/>
    <cs:fillRef idx="0"/>
    <cs:effectRef idx="0"/>
    <cs:fontRef idx="minor">
      <a:schemeClr val="tx1"/>
    </cs:fontRef>
    <cs:defRPr sz="1800" b="1" kern="1200"/>
  </cs:title>
  <cs:trendline>
    <cs:lnRef idx="1">
      <a:schemeClr val="tx1"/>
    </cs:lnRef>
    <cs:fillRef idx="0"/>
    <cs:effectRef idx="0"/>
    <cs:fontRef idx="minor">
      <a:schemeClr val="tx1"/>
    </cs:fontRef>
    <cs:spPr>
      <a:ln cap="rnd">
        <a:round/>
      </a:ln>
    </cs:spPr>
  </cs:trendline>
  <cs:trendlineLabel>
    <cs:lnRef idx="0"/>
    <cs:fillRef idx="0"/>
    <cs:effectRef idx="0"/>
    <cs:fontRef idx="minor">
      <a:schemeClr val="tx1"/>
    </cs:fontRef>
    <cs:defRPr sz="1000" kern="1200"/>
  </cs:trendlineLabel>
  <cs:upBar>
    <cs:lnRef idx="1">
      <a:schemeClr val="tx1"/>
    </cs:lnRef>
    <cs:fillRef idx="1">
      <a:schemeClr val="dk1">
        <a:tint val="5000"/>
      </a:schemeClr>
    </cs:fillRef>
    <cs:effectRef idx="0"/>
    <cs:fontRef idx="minor">
      <a:schemeClr val="tx1"/>
    </cs:fontRef>
    <cs:spPr>
      <a:ln>
        <a:round/>
      </a:ln>
    </cs:spPr>
  </cs:upBar>
  <cs:valueAxis>
    <cs:lnRef idx="1">
      <a:schemeClr val="tx1">
        <a:tint val="75000"/>
      </a:schemeClr>
    </cs:lnRef>
    <cs:fillRef idx="0"/>
    <cs:effectRef idx="0"/>
    <cs:fontRef idx="minor">
      <a:schemeClr val="tx1"/>
    </cs:fontRef>
    <cs:spPr>
      <a:ln>
        <a:round/>
      </a:ln>
    </cs:spPr>
    <cs:defRPr sz="10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94720</xdr:colOff>
      <xdr:row>11</xdr:row>
      <xdr:rowOff>148431</xdr:rowOff>
    </xdr:from>
    <xdr:to>
      <xdr:col>13</xdr:col>
      <xdr:colOff>66146</xdr:colOff>
      <xdr:row>28</xdr:row>
      <xdr:rowOff>138906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A93726-A5C2-45EC-86FC-E5DE80914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137906</xdr:colOff>
      <xdr:row>10</xdr:row>
      <xdr:rowOff>102704</xdr:rowOff>
    </xdr:from>
    <xdr:to>
      <xdr:col>12</xdr:col>
      <xdr:colOff>604631</xdr:colOff>
      <xdr:row>27</xdr:row>
      <xdr:rowOff>93179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</xdr:colOff>
      <xdr:row>4</xdr:row>
      <xdr:rowOff>180975</xdr:rowOff>
    </xdr:from>
    <xdr:to>
      <xdr:col>27</xdr:col>
      <xdr:colOff>9525</xdr:colOff>
      <xdr:row>20</xdr:row>
      <xdr:rowOff>104775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35</xdr:row>
      <xdr:rowOff>76200</xdr:rowOff>
    </xdr:from>
    <xdr:to>
      <xdr:col>12</xdr:col>
      <xdr:colOff>600075</xdr:colOff>
      <xdr:row>52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19049</xdr:colOff>
      <xdr:row>35</xdr:row>
      <xdr:rowOff>142875</xdr:rowOff>
    </xdr:from>
    <xdr:to>
      <xdr:col>26</xdr:col>
      <xdr:colOff>609599</xdr:colOff>
      <xdr:row>52</xdr:row>
      <xdr:rowOff>133350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75451</xdr:colOff>
      <xdr:row>1</xdr:row>
      <xdr:rowOff>24465</xdr:rowOff>
    </xdr:from>
    <xdr:to>
      <xdr:col>10</xdr:col>
      <xdr:colOff>75452</xdr:colOff>
      <xdr:row>6</xdr:row>
      <xdr:rowOff>13446</xdr:rowOff>
    </xdr:to>
    <xdr:sp macro="" textlink="">
      <xdr:nvSpPr>
        <xdr:cNvPr id="3" name="Rectangle à coins arrondis 17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75451" y="218700"/>
          <a:ext cx="5446060" cy="1034864"/>
        </a:xfrm>
        <a:prstGeom prst="roundRect">
          <a:avLst/>
        </a:prstGeom>
        <a:noFill/>
        <a:ln>
          <a:solidFill>
            <a:srgbClr val="10B4B8"/>
          </a:solidFill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fr-FR" sz="1100"/>
        </a:p>
      </xdr:txBody>
    </xdr:sp>
    <xdr:clientData/>
  </xdr:twoCellAnchor>
  <xdr:twoCellAnchor>
    <xdr:from>
      <xdr:col>21</xdr:col>
      <xdr:colOff>19050</xdr:colOff>
      <xdr:row>6</xdr:row>
      <xdr:rowOff>0</xdr:rowOff>
    </xdr:from>
    <xdr:to>
      <xdr:col>23</xdr:col>
      <xdr:colOff>600075</xdr:colOff>
      <xdr:row>7</xdr:row>
      <xdr:rowOff>0</xdr:rowOff>
    </xdr:to>
    <xdr:graphicFrame macro="">
      <xdr:nvGraphicFramePr>
        <xdr:cNvPr id="5" name="Graphique 2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12326</xdr:colOff>
      <xdr:row>33</xdr:row>
      <xdr:rowOff>20170</xdr:rowOff>
    </xdr:from>
    <xdr:to>
      <xdr:col>15</xdr:col>
      <xdr:colOff>371475</xdr:colOff>
      <xdr:row>52</xdr:row>
      <xdr:rowOff>96370</xdr:rowOff>
    </xdr:to>
    <xdr:graphicFrame macro="">
      <xdr:nvGraphicFramePr>
        <xdr:cNvPr id="7" name="Graphique 15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21960</xdr:colOff>
      <xdr:row>11</xdr:row>
      <xdr:rowOff>29369</xdr:rowOff>
    </xdr:from>
    <xdr:to>
      <xdr:col>12</xdr:col>
      <xdr:colOff>601927</xdr:colOff>
      <xdr:row>28</xdr:row>
      <xdr:rowOff>19844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D23AE2A-1C2D-496D-8AD1-33CFDC410785}" name="Table19" displayName="Table19" ref="A2:M10" totalsRowShown="0" headerRowDxfId="103" dataDxfId="102" tableBorderDxfId="101">
  <tableColumns count="13">
    <tableColumn id="1" xr3:uid="{B8F85884-2AE8-43CC-ACBA-9A3296D3C232}" name=" " dataDxfId="100"/>
    <tableColumn id="2" xr3:uid="{94F6866A-95C5-44C6-AC89-DE95E5353A73}" name="Jun'26" dataDxfId="99"/>
    <tableColumn id="14" xr3:uid="{FE681A19-B644-4E0F-89B4-1CD5240B49DD}" name="Jul'26" dataDxfId="98"/>
    <tableColumn id="3" xr3:uid="{9B470F77-4855-4E1D-83CD-B29053F4359D}" name="Aug'26" dataDxfId="97"/>
    <tableColumn id="4" xr3:uid="{9C954C44-30DD-4AEA-A9AE-310B6DE7479C}" name="Sep'26" dataDxfId="96"/>
    <tableColumn id="5" xr3:uid="{6F00B09D-E48D-41FC-BC05-AB51CD7D7343}" name="Oct'26" dataDxfId="95"/>
    <tableColumn id="6" xr3:uid="{165ADB12-13AC-4A83-995E-B65E67088552}" name="Nov'26" dataDxfId="94"/>
    <tableColumn id="7" xr3:uid="{34EF76C2-CB0D-4B8B-8229-BD39BE3A7BB3}" name="Dec'26" dataDxfId="93"/>
    <tableColumn id="8" xr3:uid="{E52A144E-ED31-4CC7-8D79-A6CD2AEED4C6}" name="Jan'27" dataDxfId="92"/>
    <tableColumn id="9" xr3:uid="{E822A0CC-A004-48C7-AB37-0BBE5AFA3D43}" name="Feb'27" dataDxfId="91"/>
    <tableColumn id="10" xr3:uid="{57C7D000-637F-40BF-86F9-803E1A4A17D0}" name="Mar'27" dataDxfId="90"/>
    <tableColumn id="11" xr3:uid="{1ACA697A-FB02-4D4C-99F5-857F7F3E393F}" name="Apr'27" dataDxfId="89"/>
    <tableColumn id="12" xr3:uid="{AA5D1262-AB0D-4801-B6E3-34A2CE966EA3}" name="May'27" dataDxfId="88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14" displayName="Table14" ref="A2:M10" totalsRowShown="0" headerRowDxfId="87" dataDxfId="86" tableBorderDxfId="85">
  <tableColumns count="13">
    <tableColumn id="1" xr3:uid="{00000000-0010-0000-0100-000001000000}" name=" " dataDxfId="84"/>
    <tableColumn id="2" xr3:uid="{00000000-0010-0000-0100-000002000000}" name="Jun'26" dataDxfId="83"/>
    <tableColumn id="3" xr3:uid="{00000000-0010-0000-0100-000003000000}" name="Jul'26" dataDxfId="82"/>
    <tableColumn id="4" xr3:uid="{00000000-0010-0000-0100-000004000000}" name="Aug'26" dataDxfId="81"/>
    <tableColumn id="5" xr3:uid="{00000000-0010-0000-0100-000005000000}" name="Sep'26" dataDxfId="80"/>
    <tableColumn id="6" xr3:uid="{00000000-0010-0000-0100-000006000000}" name="Oct'26" dataDxfId="79"/>
    <tableColumn id="7" xr3:uid="{00000000-0010-0000-0100-000007000000}" name="Nov'26" dataDxfId="78"/>
    <tableColumn id="8" xr3:uid="{00000000-0010-0000-0100-000008000000}" name="Dec'26" dataDxfId="77"/>
    <tableColumn id="9" xr3:uid="{00000000-0010-0000-0100-000009000000}" name="Jan'27" dataDxfId="76"/>
    <tableColumn id="10" xr3:uid="{00000000-0010-0000-0100-00000A000000}" name="Feb'27" dataDxfId="75"/>
    <tableColumn id="11" xr3:uid="{00000000-0010-0000-0100-00000B000000}" name="Mar'27" dataDxfId="74"/>
    <tableColumn id="12" xr3:uid="{00000000-0010-0000-0100-00000C000000}" name="Apr'27" dataDxfId="73"/>
    <tableColumn id="13" xr3:uid="{00000000-0010-0000-0100-00000D000000}" name="May'27" dataDxfId="72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2000000}" name="Table16" displayName="Table16" ref="A32:M34" totalsRowShown="0" headerRowDxfId="71" dataDxfId="70" tableBorderDxfId="69">
  <tableColumns count="13">
    <tableColumn id="1" xr3:uid="{00000000-0010-0000-0200-000001000000}" name=" " dataDxfId="68"/>
    <tableColumn id="2" xr3:uid="{00000000-0010-0000-0200-000002000000}" name="Jun'26" dataDxfId="67"/>
    <tableColumn id="3" xr3:uid="{00000000-0010-0000-0200-000003000000}" name="Jul'26" dataDxfId="66"/>
    <tableColumn id="4" xr3:uid="{00000000-0010-0000-0200-000004000000}" name="Aug'26" dataDxfId="65"/>
    <tableColumn id="5" xr3:uid="{00000000-0010-0000-0200-000005000000}" name="Sep'26" dataDxfId="64"/>
    <tableColumn id="6" xr3:uid="{00000000-0010-0000-0200-000006000000}" name="Oct'26" dataDxfId="63"/>
    <tableColumn id="7" xr3:uid="{00000000-0010-0000-0200-000007000000}" name="Nov'26" dataDxfId="62"/>
    <tableColumn id="8" xr3:uid="{00000000-0010-0000-0200-000008000000}" name="Dec'26" dataDxfId="61"/>
    <tableColumn id="9" xr3:uid="{00000000-0010-0000-0200-000009000000}" name="Jan'27" dataDxfId="60"/>
    <tableColumn id="10" xr3:uid="{00000000-0010-0000-0200-00000A000000}" name="Feb'27" dataDxfId="59"/>
    <tableColumn id="11" xr3:uid="{00000000-0010-0000-0200-00000B000000}" name="Mar'27" dataDxfId="58"/>
    <tableColumn id="12" xr3:uid="{00000000-0010-0000-0200-00000C000000}" name="Apr'27" dataDxfId="57"/>
    <tableColumn id="13" xr3:uid="{00000000-0010-0000-0200-00000D000000}" name="May'27" dataDxfId="56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3000000}" name="Table17" displayName="Table17" ref="O32:AA35" totalsRowShown="0" headerRowDxfId="55" dataDxfId="54" tableBorderDxfId="53">
  <tableColumns count="13">
    <tableColumn id="1" xr3:uid="{00000000-0010-0000-0300-000001000000}" name=" " dataDxfId="52"/>
    <tableColumn id="2" xr3:uid="{00000000-0010-0000-0300-000002000000}" name="Jun'26" dataDxfId="51"/>
    <tableColumn id="3" xr3:uid="{00000000-0010-0000-0300-000003000000}" name="Jul'26" dataDxfId="50"/>
    <tableColumn id="4" xr3:uid="{00000000-0010-0000-0300-000004000000}" name="Aug'26" dataDxfId="49"/>
    <tableColumn id="5" xr3:uid="{00000000-0010-0000-0300-000005000000}" name="Sep'26" dataDxfId="48"/>
    <tableColumn id="6" xr3:uid="{00000000-0010-0000-0300-000006000000}" name="Oct'26" dataDxfId="47"/>
    <tableColumn id="7" xr3:uid="{00000000-0010-0000-0300-000007000000}" name="Nov'26" dataDxfId="46"/>
    <tableColumn id="8" xr3:uid="{00000000-0010-0000-0300-000008000000}" name="Dec'26" dataDxfId="45"/>
    <tableColumn id="9" xr3:uid="{00000000-0010-0000-0300-000009000000}" name="Jan'27" dataDxfId="44"/>
    <tableColumn id="10" xr3:uid="{00000000-0010-0000-0300-00000A000000}" name="Feb'27" dataDxfId="43"/>
    <tableColumn id="11" xr3:uid="{00000000-0010-0000-0300-00000B000000}" name="Mar'27" dataDxfId="42"/>
    <tableColumn id="12" xr3:uid="{00000000-0010-0000-0300-00000C000000}" name="Apr'27" dataDxfId="41"/>
    <tableColumn id="13" xr3:uid="{00000000-0010-0000-0300-00000D000000}" name="May'27" dataDxfId="40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15" displayName="Table15" ref="O2:AA4" totalsRowShown="0" headerRowDxfId="39" dataDxfId="38" tableBorderDxfId="37">
  <tableColumns count="13">
    <tableColumn id="1" xr3:uid="{00000000-0010-0000-0400-000001000000}" name=" " dataDxfId="36"/>
    <tableColumn id="2" xr3:uid="{00000000-0010-0000-0400-000002000000}" name="Jun'26" dataDxfId="35"/>
    <tableColumn id="3" xr3:uid="{00000000-0010-0000-0400-000003000000}" name="Jul'26" dataDxfId="34"/>
    <tableColumn id="4" xr3:uid="{00000000-0010-0000-0400-000004000000}" name="Aug'26" dataDxfId="33"/>
    <tableColumn id="5" xr3:uid="{00000000-0010-0000-0400-000005000000}" name="Sep'26" dataDxfId="32"/>
    <tableColumn id="6" xr3:uid="{00000000-0010-0000-0400-000006000000}" name="Oct'26" dataDxfId="31"/>
    <tableColumn id="7" xr3:uid="{00000000-0010-0000-0400-000007000000}" name="Nov'26" dataDxfId="30"/>
    <tableColumn id="8" xr3:uid="{00000000-0010-0000-0400-000008000000}" name="Dec'26" dataDxfId="29"/>
    <tableColumn id="9" xr3:uid="{00000000-0010-0000-0400-000009000000}" name="Jan'27" dataDxfId="28"/>
    <tableColumn id="10" xr3:uid="{00000000-0010-0000-0400-00000A000000}" name="Feb'27" dataDxfId="27"/>
    <tableColumn id="11" xr3:uid="{00000000-0010-0000-0400-00000B000000}" name="Mar'27" dataDxfId="26"/>
    <tableColumn id="12" xr3:uid="{00000000-0010-0000-0400-00000C000000}" name="Apr'27" dataDxfId="25"/>
    <tableColumn id="13" xr3:uid="{00000000-0010-0000-0400-00000D000000}" name="May'27" dataDxfId="2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M10" totalsRowShown="0" headerRowDxfId="23" dataDxfId="22" tableBorderDxfId="21">
  <tableColumns count="13">
    <tableColumn id="1" xr3:uid="{00000000-0010-0000-0000-000001000000}" name=" " dataDxfId="20"/>
    <tableColumn id="2" xr3:uid="{00000000-0010-0000-0000-000002000000}" name="Jun'26" dataDxfId="19"/>
    <tableColumn id="14" xr3:uid="{84FCF2A7-693F-4E96-B15D-D63DAC7D1F80}" name="Jul'26" dataDxfId="18"/>
    <tableColumn id="3" xr3:uid="{00000000-0010-0000-0000-000003000000}" name="Aug'26" dataDxfId="17"/>
    <tableColumn id="4" xr3:uid="{00000000-0010-0000-0000-000004000000}" name="Sep'26" dataDxfId="16"/>
    <tableColumn id="5" xr3:uid="{00000000-0010-0000-0000-000005000000}" name="Oct'26" dataDxfId="15"/>
    <tableColumn id="6" xr3:uid="{00000000-0010-0000-0000-000006000000}" name="Nov'26" dataDxfId="14"/>
    <tableColumn id="7" xr3:uid="{00000000-0010-0000-0000-000007000000}" name="Dec'26" dataDxfId="13"/>
    <tableColumn id="8" xr3:uid="{00000000-0010-0000-0000-000008000000}" name="Jan'27" dataDxfId="12"/>
    <tableColumn id="9" xr3:uid="{00000000-0010-0000-0000-000009000000}" name="Feb'27" dataDxfId="11"/>
    <tableColumn id="10" xr3:uid="{00000000-0010-0000-0000-00000A000000}" name="Mar'27" dataDxfId="10"/>
    <tableColumn id="11" xr3:uid="{00000000-0010-0000-0000-00000B000000}" name="Apr'27" dataDxfId="9"/>
    <tableColumn id="12" xr3:uid="{00000000-0010-0000-0000-00000C000000}" name="May'27" dataDxfId="8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459C07-14A7-4144-BD20-D68B4EF15230}">
  <dimension ref="A1:M11"/>
  <sheetViews>
    <sheetView zoomScale="80" zoomScaleNormal="80" workbookViewId="0">
      <selection activeCell="F8" sqref="F8"/>
    </sheetView>
  </sheetViews>
  <sheetFormatPr defaultRowHeight="12.5" x14ac:dyDescent="0.25"/>
  <cols>
    <col min="1" max="1" width="35.81640625" customWidth="1"/>
    <col min="2" max="3" width="8.81640625" customWidth="1"/>
    <col min="12" max="12" width="10.1796875" bestFit="1" customWidth="1"/>
  </cols>
  <sheetData>
    <row r="1" spans="1:13" ht="14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84"/>
      <c r="K1" s="84"/>
      <c r="L1" s="84"/>
      <c r="M1" s="84"/>
    </row>
    <row r="2" spans="1:13" ht="14" x14ac:dyDescent="0.25">
      <c r="A2" s="27" t="s">
        <v>1</v>
      </c>
      <c r="B2" s="28" t="s">
        <v>83</v>
      </c>
      <c r="C2" s="28" t="s">
        <v>84</v>
      </c>
      <c r="D2" s="28" t="s">
        <v>85</v>
      </c>
      <c r="E2" s="28" t="s">
        <v>86</v>
      </c>
      <c r="F2" s="28" t="s">
        <v>87</v>
      </c>
      <c r="G2" s="28" t="s">
        <v>88</v>
      </c>
      <c r="H2" s="28" t="s">
        <v>89</v>
      </c>
      <c r="I2" s="28" t="s">
        <v>90</v>
      </c>
      <c r="J2" s="28" t="s">
        <v>91</v>
      </c>
      <c r="K2" s="28" t="s">
        <v>92</v>
      </c>
      <c r="L2" s="28" t="s">
        <v>93</v>
      </c>
      <c r="M2" s="28" t="s">
        <v>94</v>
      </c>
    </row>
    <row r="3" spans="1:13" ht="15.5" x14ac:dyDescent="0.35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</row>
    <row r="4" spans="1:13" ht="15.5" x14ac:dyDescent="0.35">
      <c r="A4" s="19" t="s">
        <v>3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</row>
    <row r="5" spans="1:13" ht="15.5" x14ac:dyDescent="0.35">
      <c r="A5" s="19" t="s">
        <v>4</v>
      </c>
      <c r="B5" s="32"/>
      <c r="C5" s="32"/>
      <c r="D5" s="32"/>
      <c r="E5" s="32"/>
      <c r="F5" s="32"/>
      <c r="G5" s="32"/>
      <c r="H5" s="32"/>
      <c r="I5" s="47"/>
      <c r="J5" s="48"/>
      <c r="K5" s="19"/>
      <c r="L5" s="32"/>
      <c r="M5" s="32"/>
    </row>
    <row r="6" spans="1:13" ht="15.5" x14ac:dyDescent="0.35">
      <c r="A6" s="19" t="s">
        <v>5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</row>
    <row r="7" spans="1:13" ht="15.5" x14ac:dyDescent="0.35">
      <c r="A7" s="30" t="s">
        <v>6</v>
      </c>
      <c r="B7" s="30"/>
      <c r="C7" s="19"/>
      <c r="D7" s="30"/>
      <c r="E7" s="30"/>
      <c r="F7" s="30"/>
      <c r="G7" s="30"/>
      <c r="H7" s="30"/>
      <c r="I7" s="30"/>
      <c r="J7" s="30"/>
      <c r="K7" s="30"/>
      <c r="L7" s="30"/>
      <c r="M7" s="30"/>
    </row>
    <row r="8" spans="1:13" ht="15.5" x14ac:dyDescent="0.35">
      <c r="A8" s="19" t="s">
        <v>7</v>
      </c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</row>
    <row r="9" spans="1:13" ht="15.5" x14ac:dyDescent="0.35">
      <c r="A9" s="30" t="s">
        <v>8</v>
      </c>
      <c r="B9" s="30"/>
      <c r="C9" s="19"/>
      <c r="D9" s="30"/>
      <c r="E9" s="30"/>
      <c r="F9" s="30"/>
      <c r="G9" s="30"/>
      <c r="H9" s="30"/>
      <c r="I9" s="30"/>
      <c r="J9" s="30"/>
      <c r="K9" s="30"/>
      <c r="L9" s="31"/>
      <c r="M9" s="30"/>
    </row>
    <row r="10" spans="1:13" ht="15.5" x14ac:dyDescent="0.35">
      <c r="A10" s="30" t="s">
        <v>113</v>
      </c>
      <c r="B10" s="30"/>
      <c r="C10" s="19"/>
      <c r="D10" s="30"/>
      <c r="E10" s="30"/>
      <c r="F10" s="30"/>
      <c r="G10" s="30"/>
      <c r="H10" s="30"/>
      <c r="I10" s="30"/>
      <c r="J10" s="30"/>
      <c r="K10" s="30"/>
      <c r="L10" s="30"/>
      <c r="M10" s="30"/>
    </row>
    <row r="11" spans="1:13" ht="15.5" x14ac:dyDescent="0.35">
      <c r="A11" s="19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</row>
  </sheetData>
  <mergeCells count="2">
    <mergeCell ref="J1:K1"/>
    <mergeCell ref="L1:M1"/>
  </mergeCells>
  <phoneticPr fontId="16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53"/>
  <sheetViews>
    <sheetView topLeftCell="A30" zoomScale="57" zoomScaleNormal="57" workbookViewId="0">
      <selection activeCell="I57" sqref="I57"/>
    </sheetView>
  </sheetViews>
  <sheetFormatPr defaultRowHeight="12.5" x14ac:dyDescent="0.25"/>
  <cols>
    <col min="1" max="1" width="24.1796875" bestFit="1" customWidth="1"/>
    <col min="14" max="14" width="4.1796875" customWidth="1"/>
    <col min="15" max="15" width="15.1796875" bestFit="1" customWidth="1"/>
  </cols>
  <sheetData>
    <row r="1" spans="1:33" ht="18.75" customHeight="1" x14ac:dyDescent="0.25">
      <c r="A1" s="28" t="s">
        <v>9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0"/>
      <c r="O1" s="28" t="s">
        <v>10</v>
      </c>
      <c r="P1" s="28"/>
      <c r="Q1" s="28"/>
      <c r="R1" s="28"/>
      <c r="S1" s="28"/>
      <c r="T1" s="28"/>
      <c r="U1" s="28"/>
      <c r="V1" s="28"/>
      <c r="W1" s="28"/>
      <c r="X1" s="28"/>
      <c r="Y1" s="28"/>
      <c r="Z1" s="28"/>
      <c r="AA1" s="28"/>
    </row>
    <row r="2" spans="1:33" ht="15.5" x14ac:dyDescent="0.35">
      <c r="A2" s="27" t="s">
        <v>1</v>
      </c>
      <c r="B2" s="28" t="s">
        <v>83</v>
      </c>
      <c r="C2" s="28" t="s">
        <v>84</v>
      </c>
      <c r="D2" s="28" t="s">
        <v>85</v>
      </c>
      <c r="E2" s="28" t="s">
        <v>86</v>
      </c>
      <c r="F2" s="28" t="s">
        <v>87</v>
      </c>
      <c r="G2" s="28" t="s">
        <v>88</v>
      </c>
      <c r="H2" s="28" t="s">
        <v>89</v>
      </c>
      <c r="I2" s="28" t="s">
        <v>90</v>
      </c>
      <c r="J2" s="28" t="s">
        <v>91</v>
      </c>
      <c r="K2" s="28" t="s">
        <v>92</v>
      </c>
      <c r="L2" s="28" t="s">
        <v>93</v>
      </c>
      <c r="M2" s="28" t="s">
        <v>94</v>
      </c>
      <c r="N2" s="20"/>
      <c r="O2" s="19" t="s">
        <v>1</v>
      </c>
      <c r="P2" s="28" t="s">
        <v>83</v>
      </c>
      <c r="Q2" s="28" t="s">
        <v>84</v>
      </c>
      <c r="R2" s="28" t="s">
        <v>85</v>
      </c>
      <c r="S2" s="28" t="s">
        <v>86</v>
      </c>
      <c r="T2" s="28" t="s">
        <v>87</v>
      </c>
      <c r="U2" s="28" t="s">
        <v>88</v>
      </c>
      <c r="V2" s="28" t="s">
        <v>89</v>
      </c>
      <c r="W2" s="28" t="s">
        <v>90</v>
      </c>
      <c r="X2" s="28" t="s">
        <v>91</v>
      </c>
      <c r="Y2" s="28" t="s">
        <v>92</v>
      </c>
      <c r="Z2" s="28" t="s">
        <v>93</v>
      </c>
      <c r="AA2" s="28" t="s">
        <v>94</v>
      </c>
      <c r="AC2" s="24"/>
      <c r="AD2" s="24"/>
      <c r="AE2" s="24"/>
      <c r="AF2" s="24"/>
      <c r="AG2" s="24"/>
    </row>
    <row r="3" spans="1:33" ht="15.5" x14ac:dyDescent="0.35">
      <c r="A3" s="19" t="s">
        <v>12</v>
      </c>
      <c r="B3" s="19">
        <v>0</v>
      </c>
      <c r="C3" s="19">
        <v>0</v>
      </c>
      <c r="D3" s="19">
        <v>0</v>
      </c>
      <c r="E3" s="19">
        <v>0</v>
      </c>
      <c r="F3" s="19">
        <v>0</v>
      </c>
      <c r="G3" s="19">
        <v>0</v>
      </c>
      <c r="H3" s="19"/>
      <c r="I3" s="19"/>
      <c r="J3" s="19"/>
      <c r="K3" s="19"/>
      <c r="L3" s="19"/>
      <c r="M3" s="19"/>
      <c r="N3" s="21"/>
      <c r="O3" s="19" t="s">
        <v>12</v>
      </c>
      <c r="P3" s="19">
        <v>0</v>
      </c>
      <c r="Q3" s="19">
        <v>0</v>
      </c>
      <c r="R3" s="19">
        <v>0</v>
      </c>
      <c r="S3" s="19">
        <v>0</v>
      </c>
      <c r="T3" s="19">
        <v>0</v>
      </c>
      <c r="U3" s="19">
        <v>0</v>
      </c>
      <c r="V3" s="19"/>
      <c r="W3" s="19"/>
      <c r="X3" s="19"/>
      <c r="Y3" s="19"/>
      <c r="Z3" s="19"/>
      <c r="AA3" s="19"/>
    </row>
    <row r="4" spans="1:33" ht="15.5" x14ac:dyDescent="0.35">
      <c r="A4" s="19" t="s">
        <v>12</v>
      </c>
      <c r="B4" s="19">
        <v>0</v>
      </c>
      <c r="C4" s="19">
        <v>0</v>
      </c>
      <c r="D4" s="19">
        <v>0</v>
      </c>
      <c r="E4" s="19">
        <v>0</v>
      </c>
      <c r="F4" s="19">
        <v>0</v>
      </c>
      <c r="G4" s="19">
        <v>0</v>
      </c>
      <c r="H4" s="19"/>
      <c r="I4" s="19"/>
      <c r="J4" s="19"/>
      <c r="K4" s="19"/>
      <c r="L4" s="19"/>
      <c r="M4" s="19"/>
      <c r="N4" s="21"/>
      <c r="O4" s="19" t="s">
        <v>13</v>
      </c>
      <c r="P4" s="19">
        <v>0</v>
      </c>
      <c r="Q4" s="19">
        <v>0</v>
      </c>
      <c r="R4" s="19">
        <v>0</v>
      </c>
      <c r="S4" s="19">
        <v>0</v>
      </c>
      <c r="T4" s="19">
        <v>0</v>
      </c>
      <c r="U4" s="19">
        <v>0</v>
      </c>
      <c r="V4" s="19"/>
      <c r="W4" s="19"/>
      <c r="X4" s="19"/>
      <c r="Y4" s="19"/>
      <c r="Z4" s="19"/>
      <c r="AA4" s="19"/>
    </row>
    <row r="5" spans="1:33" ht="15.5" x14ac:dyDescent="0.35">
      <c r="A5" s="19" t="s">
        <v>14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v>0</v>
      </c>
      <c r="H5" s="19"/>
      <c r="I5" s="19"/>
      <c r="J5" s="19"/>
      <c r="K5" s="19"/>
      <c r="L5" s="19"/>
      <c r="M5" s="19"/>
      <c r="N5" s="21"/>
    </row>
    <row r="6" spans="1:33" ht="15.5" x14ac:dyDescent="0.35">
      <c r="A6" s="19" t="s">
        <v>15</v>
      </c>
      <c r="B6" s="19">
        <v>0</v>
      </c>
      <c r="C6" s="19">
        <v>0</v>
      </c>
      <c r="D6" s="19">
        <v>0</v>
      </c>
      <c r="E6" s="19">
        <v>0</v>
      </c>
      <c r="F6" s="19">
        <v>0</v>
      </c>
      <c r="G6" s="19">
        <v>0</v>
      </c>
      <c r="H6" s="19"/>
      <c r="I6" s="19"/>
      <c r="J6" s="19"/>
      <c r="K6" s="19"/>
      <c r="L6" s="19"/>
      <c r="M6" s="19"/>
      <c r="N6" s="21"/>
    </row>
    <row r="7" spans="1:33" ht="15.5" x14ac:dyDescent="0.35">
      <c r="A7" s="19" t="s">
        <v>16</v>
      </c>
      <c r="B7" s="19">
        <v>0</v>
      </c>
      <c r="C7" s="19">
        <v>0</v>
      </c>
      <c r="D7" s="19">
        <v>0</v>
      </c>
      <c r="E7" s="19">
        <v>0</v>
      </c>
      <c r="F7" s="19">
        <v>0</v>
      </c>
      <c r="G7" s="19">
        <v>0</v>
      </c>
      <c r="H7" s="19"/>
      <c r="I7" s="19"/>
      <c r="J7" s="19"/>
      <c r="K7" s="19"/>
      <c r="L7" s="19"/>
      <c r="M7" s="19"/>
      <c r="N7" s="21"/>
    </row>
    <row r="8" spans="1:33" ht="15.5" x14ac:dyDescent="0.35">
      <c r="A8" s="19" t="s">
        <v>17</v>
      </c>
      <c r="B8" s="19">
        <v>0</v>
      </c>
      <c r="C8" s="19">
        <v>0</v>
      </c>
      <c r="D8" s="19">
        <v>0</v>
      </c>
      <c r="E8" s="19">
        <v>0</v>
      </c>
      <c r="F8" s="19">
        <v>0</v>
      </c>
      <c r="G8" s="19">
        <v>0</v>
      </c>
      <c r="H8" s="19"/>
      <c r="I8" s="19"/>
      <c r="J8" s="19"/>
      <c r="K8" s="19"/>
      <c r="L8" s="19"/>
      <c r="M8" s="19"/>
      <c r="N8" s="21"/>
    </row>
    <row r="9" spans="1:33" ht="15.5" x14ac:dyDescent="0.35">
      <c r="A9" s="19" t="s">
        <v>18</v>
      </c>
      <c r="B9" s="19">
        <v>0</v>
      </c>
      <c r="C9" s="19">
        <v>0</v>
      </c>
      <c r="D9" s="19">
        <v>0</v>
      </c>
      <c r="E9" s="19">
        <v>0</v>
      </c>
      <c r="F9" s="19">
        <v>0</v>
      </c>
      <c r="G9" s="19">
        <v>0</v>
      </c>
      <c r="H9" s="19"/>
      <c r="I9" s="19"/>
      <c r="J9" s="19"/>
      <c r="K9" s="19"/>
      <c r="L9" s="19"/>
      <c r="M9" s="19"/>
      <c r="N9" s="21"/>
    </row>
    <row r="10" spans="1:33" ht="15.5" x14ac:dyDescent="0.35">
      <c r="A10" s="19" t="s">
        <v>19</v>
      </c>
      <c r="B10" s="19">
        <v>0</v>
      </c>
      <c r="C10" s="19">
        <v>0</v>
      </c>
      <c r="D10" s="19">
        <v>0</v>
      </c>
      <c r="E10" s="19">
        <v>0</v>
      </c>
      <c r="F10" s="19">
        <v>0</v>
      </c>
      <c r="G10" s="19">
        <v>0</v>
      </c>
      <c r="H10" s="19"/>
      <c r="I10" s="19"/>
      <c r="J10" s="19"/>
      <c r="K10" s="19"/>
      <c r="L10" s="19"/>
      <c r="M10" s="19"/>
      <c r="N10" s="21"/>
    </row>
    <row r="11" spans="1:33" x14ac:dyDescent="0.25">
      <c r="N11" s="21"/>
    </row>
    <row r="12" spans="1:33" x14ac:dyDescent="0.25">
      <c r="N12" s="21"/>
    </row>
    <row r="13" spans="1:33" x14ac:dyDescent="0.25">
      <c r="N13" s="21"/>
    </row>
    <row r="14" spans="1:33" x14ac:dyDescent="0.25">
      <c r="N14" s="21"/>
    </row>
    <row r="15" spans="1:33" x14ac:dyDescent="0.25">
      <c r="N15" s="21"/>
    </row>
    <row r="16" spans="1:33" x14ac:dyDescent="0.25">
      <c r="N16" s="21"/>
    </row>
    <row r="17" spans="1:27" x14ac:dyDescent="0.25">
      <c r="N17" s="21"/>
    </row>
    <row r="18" spans="1:27" x14ac:dyDescent="0.25">
      <c r="N18" s="21"/>
    </row>
    <row r="19" spans="1:27" x14ac:dyDescent="0.25">
      <c r="N19" s="21"/>
    </row>
    <row r="20" spans="1:27" x14ac:dyDescent="0.25">
      <c r="N20" s="21"/>
    </row>
    <row r="21" spans="1:27" x14ac:dyDescent="0.25">
      <c r="N21" s="21"/>
    </row>
    <row r="22" spans="1:27" x14ac:dyDescent="0.25">
      <c r="N22" s="21"/>
    </row>
    <row r="23" spans="1:27" x14ac:dyDescent="0.25">
      <c r="N23" s="21"/>
    </row>
    <row r="24" spans="1:27" x14ac:dyDescent="0.25">
      <c r="N24" s="21"/>
    </row>
    <row r="25" spans="1:27" x14ac:dyDescent="0.25">
      <c r="N25" s="21"/>
    </row>
    <row r="26" spans="1:27" x14ac:dyDescent="0.25">
      <c r="N26" s="21"/>
    </row>
    <row r="27" spans="1:27" x14ac:dyDescent="0.25">
      <c r="N27" s="21"/>
    </row>
    <row r="28" spans="1:27" x14ac:dyDescent="0.25">
      <c r="N28" s="21"/>
    </row>
    <row r="29" spans="1:27" x14ac:dyDescent="0.25">
      <c r="A29" s="21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  <c r="Z29" s="21"/>
      <c r="AA29" s="21"/>
    </row>
    <row r="30" spans="1:27" x14ac:dyDescent="0.25">
      <c r="A30" s="21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21"/>
      <c r="S30" s="21"/>
      <c r="T30" s="21"/>
      <c r="U30" s="21"/>
      <c r="V30" s="21"/>
      <c r="W30" s="21"/>
      <c r="X30" s="21"/>
      <c r="Y30" s="21"/>
      <c r="Z30" s="21"/>
      <c r="AA30" s="21"/>
    </row>
    <row r="31" spans="1:27" ht="14.5" thickBot="1" x14ac:dyDescent="0.3">
      <c r="A31" s="29" t="s">
        <v>20</v>
      </c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1"/>
      <c r="O31" s="29" t="s">
        <v>21</v>
      </c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</row>
    <row r="32" spans="1:27" ht="15.5" x14ac:dyDescent="0.35">
      <c r="A32" s="19" t="s">
        <v>1</v>
      </c>
      <c r="B32" s="28" t="s">
        <v>83</v>
      </c>
      <c r="C32" s="28" t="s">
        <v>84</v>
      </c>
      <c r="D32" s="28" t="s">
        <v>85</v>
      </c>
      <c r="E32" s="28" t="s">
        <v>86</v>
      </c>
      <c r="F32" s="28" t="s">
        <v>87</v>
      </c>
      <c r="G32" s="28" t="s">
        <v>88</v>
      </c>
      <c r="H32" s="28" t="s">
        <v>89</v>
      </c>
      <c r="I32" s="28" t="s">
        <v>90</v>
      </c>
      <c r="J32" s="28" t="s">
        <v>91</v>
      </c>
      <c r="K32" s="28" t="s">
        <v>92</v>
      </c>
      <c r="L32" s="28" t="s">
        <v>93</v>
      </c>
      <c r="M32" s="28" t="s">
        <v>94</v>
      </c>
      <c r="N32" s="21"/>
      <c r="O32" s="19" t="s">
        <v>1</v>
      </c>
      <c r="P32" s="28" t="s">
        <v>83</v>
      </c>
      <c r="Q32" s="28" t="s">
        <v>84</v>
      </c>
      <c r="R32" s="28" t="s">
        <v>85</v>
      </c>
      <c r="S32" s="28" t="s">
        <v>86</v>
      </c>
      <c r="T32" s="28" t="s">
        <v>87</v>
      </c>
      <c r="U32" s="28" t="s">
        <v>88</v>
      </c>
      <c r="V32" s="28" t="s">
        <v>89</v>
      </c>
      <c r="W32" s="28" t="s">
        <v>90</v>
      </c>
      <c r="X32" s="28" t="s">
        <v>91</v>
      </c>
      <c r="Y32" s="28" t="s">
        <v>92</v>
      </c>
      <c r="Z32" s="28" t="s">
        <v>93</v>
      </c>
      <c r="AA32" s="28" t="s">
        <v>94</v>
      </c>
    </row>
    <row r="33" spans="1:27" ht="15.5" x14ac:dyDescent="0.35">
      <c r="A33" s="19" t="s">
        <v>22</v>
      </c>
      <c r="B33" s="19">
        <v>0</v>
      </c>
      <c r="C33" s="19">
        <v>0</v>
      </c>
      <c r="D33" s="19">
        <v>0</v>
      </c>
      <c r="E33" s="19">
        <v>0</v>
      </c>
      <c r="F33" s="19">
        <v>0</v>
      </c>
      <c r="G33" s="19">
        <v>0</v>
      </c>
      <c r="H33" s="19"/>
      <c r="I33" s="19"/>
      <c r="J33" s="19"/>
      <c r="K33" s="19"/>
      <c r="L33" s="19"/>
      <c r="M33" s="19"/>
      <c r="N33" s="21"/>
      <c r="O33" s="19" t="s">
        <v>23</v>
      </c>
      <c r="P33" s="19"/>
      <c r="Q33" s="19"/>
      <c r="R33" s="30"/>
      <c r="S33" s="30"/>
      <c r="T33" s="30"/>
      <c r="U33" s="19"/>
      <c r="V33" s="19"/>
      <c r="W33" s="19"/>
      <c r="X33" s="19"/>
      <c r="Y33" s="19"/>
      <c r="Z33" s="19"/>
      <c r="AA33" s="19"/>
    </row>
    <row r="34" spans="1:27" ht="15.5" x14ac:dyDescent="0.35">
      <c r="A34" s="19" t="s">
        <v>24</v>
      </c>
      <c r="B34" s="19">
        <v>0</v>
      </c>
      <c r="C34" s="19">
        <v>0</v>
      </c>
      <c r="D34" s="19"/>
      <c r="E34" s="19">
        <v>0</v>
      </c>
      <c r="F34" s="19">
        <v>0</v>
      </c>
      <c r="G34" s="19">
        <v>0</v>
      </c>
      <c r="H34" s="19"/>
      <c r="I34" s="19"/>
      <c r="J34" s="19"/>
      <c r="K34" s="19"/>
      <c r="L34" s="19"/>
      <c r="M34" s="19"/>
      <c r="N34" s="21"/>
      <c r="O34" s="19" t="s">
        <v>25</v>
      </c>
      <c r="P34" s="19"/>
      <c r="Q34" s="19"/>
      <c r="R34" s="30"/>
      <c r="S34" s="30"/>
      <c r="T34" s="30"/>
      <c r="U34" s="19"/>
      <c r="V34" s="19"/>
      <c r="W34" s="19"/>
      <c r="X34" s="19"/>
      <c r="Y34" s="19"/>
      <c r="Z34" s="19"/>
      <c r="AA34" s="19"/>
    </row>
    <row r="35" spans="1:27" ht="15.5" x14ac:dyDescent="0.35">
      <c r="N35" s="21"/>
      <c r="O35" s="19" t="s">
        <v>26</v>
      </c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</row>
    <row r="36" spans="1:27" x14ac:dyDescent="0.25">
      <c r="N36" s="21"/>
    </row>
    <row r="37" spans="1:27" x14ac:dyDescent="0.25">
      <c r="N37" s="21"/>
    </row>
    <row r="38" spans="1:27" x14ac:dyDescent="0.25">
      <c r="N38" s="21"/>
    </row>
    <row r="39" spans="1:27" x14ac:dyDescent="0.25">
      <c r="N39" s="21"/>
    </row>
    <row r="40" spans="1:27" x14ac:dyDescent="0.25">
      <c r="N40" s="21"/>
    </row>
    <row r="41" spans="1:27" x14ac:dyDescent="0.25">
      <c r="N41" s="21"/>
    </row>
    <row r="42" spans="1:27" x14ac:dyDescent="0.25">
      <c r="N42" s="21"/>
    </row>
    <row r="43" spans="1:27" x14ac:dyDescent="0.25">
      <c r="N43" s="21"/>
    </row>
    <row r="44" spans="1:27" x14ac:dyDescent="0.25">
      <c r="N44" s="21"/>
    </row>
    <row r="45" spans="1:27" x14ac:dyDescent="0.25">
      <c r="N45" s="21"/>
    </row>
    <row r="46" spans="1:27" x14ac:dyDescent="0.25">
      <c r="N46" s="21"/>
    </row>
    <row r="47" spans="1:27" x14ac:dyDescent="0.25">
      <c r="N47" s="21"/>
    </row>
    <row r="48" spans="1:27" x14ac:dyDescent="0.25">
      <c r="N48" s="21"/>
    </row>
    <row r="49" spans="14:14" x14ac:dyDescent="0.25">
      <c r="N49" s="21"/>
    </row>
    <row r="50" spans="14:14" x14ac:dyDescent="0.25">
      <c r="N50" s="21"/>
    </row>
    <row r="51" spans="14:14" x14ac:dyDescent="0.25">
      <c r="N51" s="21"/>
    </row>
    <row r="52" spans="14:14" x14ac:dyDescent="0.25">
      <c r="N52" s="21"/>
    </row>
    <row r="53" spans="14:14" x14ac:dyDescent="0.25">
      <c r="N53" s="21"/>
    </row>
  </sheetData>
  <phoneticPr fontId="16" type="noConversion"/>
  <pageMargins left="0.7" right="0.7" top="0.75" bottom="0.75" header="0.3" footer="0.3"/>
  <pageSetup paperSize="9" orientation="portrait" r:id="rId1"/>
  <drawing r:id="rId2"/>
  <tableParts count="4"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91000-E506-42F5-9E0C-3C20AFC66042}">
  <dimension ref="A1:I41"/>
  <sheetViews>
    <sheetView tabSelected="1" zoomScale="70" zoomScaleNormal="70" workbookViewId="0">
      <selection activeCell="I11" sqref="I11"/>
    </sheetView>
  </sheetViews>
  <sheetFormatPr defaultRowHeight="12.5" x14ac:dyDescent="0.25"/>
  <cols>
    <col min="1" max="1" width="13.453125" customWidth="1"/>
    <col min="2" max="2" width="13.1796875" customWidth="1"/>
    <col min="3" max="3" width="26.453125" customWidth="1"/>
    <col min="4" max="4" width="23.1796875" customWidth="1"/>
    <col min="5" max="5" width="13.54296875" customWidth="1"/>
    <col min="6" max="6" width="23" customWidth="1"/>
    <col min="7" max="7" width="24.1796875" customWidth="1"/>
    <col min="8" max="8" width="17.81640625" customWidth="1"/>
    <col min="9" max="9" width="11.1796875" customWidth="1"/>
  </cols>
  <sheetData>
    <row r="1" spans="1:9" ht="37.5" customHeight="1" x14ac:dyDescent="0.25">
      <c r="A1" s="26" t="s">
        <v>27</v>
      </c>
      <c r="B1" s="26" t="s">
        <v>28</v>
      </c>
      <c r="C1" s="26" t="s">
        <v>29</v>
      </c>
      <c r="D1" s="26" t="s">
        <v>30</v>
      </c>
      <c r="E1" s="26" t="s">
        <v>31</v>
      </c>
      <c r="F1" s="26" t="s">
        <v>32</v>
      </c>
      <c r="G1" s="26" t="s">
        <v>30</v>
      </c>
      <c r="H1" s="26" t="s">
        <v>33</v>
      </c>
      <c r="I1" s="26" t="s">
        <v>34</v>
      </c>
    </row>
    <row r="2" spans="1:9" ht="83.5" customHeight="1" thickBot="1" x14ac:dyDescent="0.3">
      <c r="A2" s="51" t="s">
        <v>95</v>
      </c>
      <c r="B2" s="52" t="s">
        <v>1</v>
      </c>
      <c r="C2" s="34" t="s">
        <v>1</v>
      </c>
      <c r="D2" s="35" t="s">
        <v>1</v>
      </c>
      <c r="E2" s="53" t="s">
        <v>1</v>
      </c>
      <c r="F2" s="54" t="s">
        <v>1</v>
      </c>
      <c r="G2" s="36"/>
      <c r="H2" s="37" t="s">
        <v>1</v>
      </c>
      <c r="I2" s="38" t="s">
        <v>100</v>
      </c>
    </row>
    <row r="3" spans="1:9" ht="79.5" customHeight="1" thickBot="1" x14ac:dyDescent="0.3">
      <c r="A3" s="51" t="s">
        <v>96</v>
      </c>
      <c r="B3" s="52" t="s">
        <v>114</v>
      </c>
      <c r="C3" s="34" t="s">
        <v>1</v>
      </c>
      <c r="D3" s="40" t="s">
        <v>1</v>
      </c>
      <c r="E3" s="53" t="s">
        <v>1</v>
      </c>
      <c r="F3" s="34" t="s">
        <v>1</v>
      </c>
      <c r="G3" s="41"/>
      <c r="H3" s="37" t="s">
        <v>1</v>
      </c>
      <c r="I3" s="55" t="s">
        <v>100</v>
      </c>
    </row>
    <row r="4" spans="1:9" ht="109" customHeight="1" thickBot="1" x14ac:dyDescent="0.3">
      <c r="A4" s="51" t="s">
        <v>97</v>
      </c>
      <c r="B4" s="52" t="s">
        <v>1</v>
      </c>
      <c r="C4" s="34" t="s">
        <v>1</v>
      </c>
      <c r="D4" s="40" t="s">
        <v>1</v>
      </c>
      <c r="E4" s="53" t="s">
        <v>1</v>
      </c>
      <c r="F4" s="34" t="s">
        <v>1</v>
      </c>
      <c r="G4" s="41" t="s">
        <v>114</v>
      </c>
      <c r="H4" s="37" t="s">
        <v>1</v>
      </c>
      <c r="I4" s="55" t="s">
        <v>101</v>
      </c>
    </row>
    <row r="5" spans="1:9" ht="79.5" customHeight="1" thickBot="1" x14ac:dyDescent="0.3">
      <c r="A5" s="51" t="s">
        <v>98</v>
      </c>
      <c r="B5" s="52"/>
      <c r="C5" s="34"/>
      <c r="D5" s="40"/>
      <c r="E5" s="53"/>
      <c r="F5" s="34"/>
      <c r="G5" s="41"/>
      <c r="H5" s="37"/>
      <c r="I5" s="55"/>
    </row>
    <row r="6" spans="1:9" ht="111.65" customHeight="1" thickBot="1" x14ac:dyDescent="0.3">
      <c r="A6" s="51" t="s">
        <v>99</v>
      </c>
      <c r="B6" s="52"/>
      <c r="C6" s="34"/>
      <c r="D6" s="40"/>
      <c r="E6" s="53"/>
      <c r="F6" s="34"/>
      <c r="G6" s="56"/>
      <c r="H6" s="37"/>
      <c r="I6" s="55"/>
    </row>
    <row r="7" spans="1:9" ht="99" customHeight="1" thickBot="1" x14ac:dyDescent="0.3">
      <c r="A7" s="51" t="s">
        <v>102</v>
      </c>
      <c r="B7" s="52"/>
      <c r="C7" s="34"/>
      <c r="D7" s="40"/>
      <c r="E7" s="53"/>
      <c r="F7" s="34"/>
      <c r="G7" s="41"/>
      <c r="H7" s="37"/>
      <c r="I7" s="55"/>
    </row>
    <row r="8" spans="1:9" ht="132" customHeight="1" thickBot="1" x14ac:dyDescent="0.3">
      <c r="A8" s="51" t="s">
        <v>103</v>
      </c>
      <c r="B8" s="52"/>
      <c r="C8" s="34"/>
      <c r="D8" s="40"/>
      <c r="E8" s="53"/>
      <c r="F8" s="34"/>
      <c r="G8" s="41"/>
      <c r="H8" s="37"/>
      <c r="I8" s="55"/>
    </row>
    <row r="9" spans="1:9" ht="138" customHeight="1" thickBot="1" x14ac:dyDescent="0.3">
      <c r="A9" s="51" t="s">
        <v>104</v>
      </c>
      <c r="B9" s="52"/>
      <c r="C9" s="34"/>
      <c r="D9" s="40"/>
      <c r="E9" s="57"/>
      <c r="F9" s="34"/>
      <c r="G9" s="41"/>
      <c r="H9" s="37"/>
      <c r="I9" s="55"/>
    </row>
    <row r="10" spans="1:9" ht="96.65" customHeight="1" thickBot="1" x14ac:dyDescent="0.3">
      <c r="A10" s="51" t="s">
        <v>105</v>
      </c>
      <c r="B10" s="52"/>
      <c r="C10" s="34"/>
      <c r="D10" s="40"/>
      <c r="E10" s="57"/>
      <c r="F10" s="34"/>
      <c r="G10" s="41"/>
      <c r="H10" s="37"/>
      <c r="I10" s="55"/>
    </row>
    <row r="11" spans="1:9" ht="143.5" customHeight="1" thickBot="1" x14ac:dyDescent="0.3">
      <c r="A11" s="51" t="s">
        <v>106</v>
      </c>
      <c r="B11" s="52"/>
      <c r="C11" s="42"/>
      <c r="D11" s="40"/>
      <c r="E11" s="57"/>
      <c r="F11" s="34"/>
      <c r="G11" s="35"/>
      <c r="H11" s="37"/>
      <c r="I11" s="38"/>
    </row>
    <row r="12" spans="1:9" ht="143.5" customHeight="1" thickBot="1" x14ac:dyDescent="0.3">
      <c r="A12" s="51" t="s">
        <v>107</v>
      </c>
      <c r="B12" s="52"/>
      <c r="C12" s="43"/>
      <c r="D12" s="35"/>
      <c r="E12" s="57"/>
      <c r="F12" s="43"/>
      <c r="G12" s="58"/>
      <c r="H12" s="37"/>
      <c r="I12" s="38"/>
    </row>
    <row r="13" spans="1:9" ht="12.75" hidden="1" customHeight="1" x14ac:dyDescent="0.25">
      <c r="A13" s="51" t="s">
        <v>108</v>
      </c>
      <c r="B13" s="52"/>
      <c r="C13" s="43"/>
      <c r="D13" s="35"/>
      <c r="E13" s="57"/>
      <c r="F13" s="43"/>
      <c r="G13" s="35"/>
      <c r="H13" s="37"/>
      <c r="I13" s="38"/>
    </row>
    <row r="14" spans="1:9" ht="102" customHeight="1" thickBot="1" x14ac:dyDescent="0.3">
      <c r="A14" s="51" t="s">
        <v>109</v>
      </c>
      <c r="B14" s="52"/>
      <c r="C14" s="43"/>
      <c r="D14" s="35"/>
      <c r="E14" s="57"/>
      <c r="F14" s="43"/>
      <c r="G14" s="35"/>
      <c r="H14" s="37"/>
      <c r="I14" s="38"/>
    </row>
    <row r="15" spans="1:9" ht="143.5" customHeight="1" thickBot="1" x14ac:dyDescent="0.3">
      <c r="A15" s="51" t="s">
        <v>110</v>
      </c>
      <c r="B15" s="52"/>
      <c r="C15" s="43"/>
      <c r="D15" s="35"/>
      <c r="E15" s="57"/>
      <c r="F15" s="43"/>
      <c r="G15" s="35"/>
      <c r="H15" s="37"/>
      <c r="I15" s="38"/>
    </row>
    <row r="16" spans="1:9" ht="143.5" customHeight="1" thickBot="1" x14ac:dyDescent="0.3">
      <c r="A16" s="51" t="s">
        <v>111</v>
      </c>
      <c r="B16" s="52"/>
      <c r="C16" s="43"/>
      <c r="D16" s="35"/>
      <c r="E16" s="57"/>
      <c r="F16" s="43"/>
      <c r="G16" s="35"/>
      <c r="H16" s="37"/>
      <c r="I16" s="38"/>
    </row>
    <row r="17" spans="1:9" ht="95.4" customHeight="1" thickBot="1" x14ac:dyDescent="0.3">
      <c r="A17" s="51" t="s">
        <v>112</v>
      </c>
      <c r="B17" s="52"/>
      <c r="C17" s="43"/>
      <c r="D17" s="35"/>
      <c r="E17" s="57"/>
      <c r="F17" s="43"/>
      <c r="G17" s="35"/>
      <c r="H17" s="37"/>
      <c r="I17" s="38"/>
    </row>
    <row r="18" spans="1:9" ht="89.4" customHeight="1" thickBot="1" x14ac:dyDescent="0.3">
      <c r="A18" s="51"/>
      <c r="B18" s="52"/>
      <c r="C18" s="44"/>
      <c r="D18" s="40"/>
      <c r="E18" s="57"/>
      <c r="F18" s="44"/>
      <c r="G18" s="35"/>
      <c r="H18" s="37"/>
      <c r="I18" s="38"/>
    </row>
    <row r="19" spans="1:9" ht="61.25" customHeight="1" x14ac:dyDescent="0.25">
      <c r="A19" s="85"/>
      <c r="B19" s="86"/>
      <c r="C19" s="86"/>
      <c r="D19" s="86"/>
      <c r="E19" s="86"/>
      <c r="F19" s="86"/>
      <c r="G19" s="86"/>
      <c r="H19" s="86"/>
      <c r="I19" s="87"/>
    </row>
    <row r="20" spans="1:9" ht="143.5" customHeight="1" thickBot="1" x14ac:dyDescent="0.3">
      <c r="A20" s="39"/>
      <c r="B20" s="59"/>
      <c r="C20" s="44"/>
      <c r="D20" s="40"/>
      <c r="E20" s="57"/>
      <c r="F20" s="44"/>
      <c r="G20" s="35"/>
      <c r="H20" s="37"/>
      <c r="I20" s="60"/>
    </row>
    <row r="21" spans="1:9" ht="121.75" customHeight="1" thickBot="1" x14ac:dyDescent="0.3">
      <c r="A21" s="39"/>
      <c r="B21" s="59"/>
      <c r="C21" s="61"/>
      <c r="D21" s="40"/>
      <c r="E21" s="62"/>
      <c r="F21" s="44"/>
      <c r="G21" s="35"/>
      <c r="H21" s="37"/>
      <c r="I21" s="60"/>
    </row>
    <row r="22" spans="1:9" ht="100.75" customHeight="1" thickBot="1" x14ac:dyDescent="0.3">
      <c r="A22" s="39"/>
      <c r="B22" s="59"/>
      <c r="C22" s="44"/>
      <c r="D22" s="40"/>
      <c r="E22" s="57"/>
      <c r="F22" s="44"/>
      <c r="G22" s="35"/>
      <c r="H22" s="37"/>
      <c r="I22" s="60"/>
    </row>
    <row r="23" spans="1:9" s="45" customFormat="1" ht="143.5" customHeight="1" thickBot="1" x14ac:dyDescent="0.3">
      <c r="A23" s="39"/>
      <c r="B23" s="59"/>
      <c r="C23" s="44"/>
      <c r="D23" s="40"/>
      <c r="E23" s="57"/>
      <c r="F23" s="44"/>
      <c r="G23" s="35"/>
      <c r="H23" s="37"/>
      <c r="I23" s="60"/>
    </row>
    <row r="24" spans="1:9" s="46" customFormat="1" ht="143.5" customHeight="1" thickBot="1" x14ac:dyDescent="0.3">
      <c r="A24" s="39"/>
      <c r="B24" s="59"/>
      <c r="C24" s="43"/>
      <c r="D24"/>
      <c r="E24" s="57"/>
      <c r="F24" s="43"/>
      <c r="G24"/>
      <c r="H24"/>
      <c r="I24" s="60"/>
    </row>
    <row r="25" spans="1:9" s="46" customFormat="1" ht="143.5" customHeight="1" thickBot="1" x14ac:dyDescent="0.3">
      <c r="A25" s="39"/>
      <c r="B25" s="59"/>
      <c r="C25" s="44"/>
      <c r="D25" s="40"/>
      <c r="E25" s="57"/>
      <c r="F25" s="44"/>
      <c r="G25" s="35"/>
      <c r="H25" s="37"/>
      <c r="I25" s="60"/>
    </row>
    <row r="26" spans="1:9" s="46" customFormat="1" ht="143.5" customHeight="1" thickBot="1" x14ac:dyDescent="0.3">
      <c r="A26" s="39"/>
      <c r="B26" s="59"/>
      <c r="C26" s="44"/>
      <c r="D26" s="40"/>
      <c r="E26" s="57"/>
      <c r="F26" s="44"/>
      <c r="G26" s="35"/>
      <c r="H26" s="37"/>
      <c r="I26" s="60"/>
    </row>
    <row r="27" spans="1:9" s="46" customFormat="1" ht="143.5" customHeight="1" thickBot="1" x14ac:dyDescent="0.3">
      <c r="A27" s="39"/>
      <c r="B27" s="59"/>
      <c r="C27" s="44"/>
      <c r="D27" s="40"/>
      <c r="E27" s="57"/>
      <c r="F27" s="44"/>
      <c r="G27" s="35"/>
      <c r="H27" s="37"/>
      <c r="I27" s="60"/>
    </row>
    <row r="28" spans="1:9" ht="102.65" customHeight="1" thickBot="1" x14ac:dyDescent="0.3">
      <c r="A28" s="39"/>
      <c r="B28" s="59"/>
      <c r="C28" s="44"/>
      <c r="D28" s="40"/>
      <c r="E28" s="57"/>
      <c r="F28" s="44"/>
      <c r="G28" s="35"/>
      <c r="H28" s="37"/>
      <c r="I28" s="60"/>
    </row>
    <row r="29" spans="1:9" ht="91.75" customHeight="1" thickBot="1" x14ac:dyDescent="0.3">
      <c r="A29" s="39"/>
      <c r="B29" s="59"/>
      <c r="C29" s="44"/>
      <c r="D29" s="40"/>
      <c r="E29" s="57"/>
      <c r="F29" s="44"/>
      <c r="G29" s="35"/>
      <c r="H29" s="37"/>
      <c r="I29" s="60"/>
    </row>
    <row r="30" spans="1:9" ht="118.75" customHeight="1" thickBot="1" x14ac:dyDescent="0.3">
      <c r="A30" s="39"/>
      <c r="B30" s="59"/>
      <c r="C30" s="44"/>
      <c r="D30" s="40"/>
      <c r="E30" s="57"/>
      <c r="F30" s="44"/>
      <c r="G30" s="35"/>
      <c r="H30" s="37"/>
      <c r="I30" s="60"/>
    </row>
    <row r="31" spans="1:9" ht="96" customHeight="1" thickBot="1" x14ac:dyDescent="0.3">
      <c r="A31" s="39"/>
      <c r="B31" s="59"/>
      <c r="C31" s="34"/>
      <c r="D31" s="40"/>
      <c r="E31" s="57"/>
      <c r="F31" s="44"/>
      <c r="G31" s="35"/>
      <c r="H31" s="37"/>
      <c r="I31" s="38"/>
    </row>
    <row r="32" spans="1:9" ht="102" customHeight="1" thickBot="1" x14ac:dyDescent="0.3">
      <c r="A32" s="63"/>
      <c r="B32" s="59"/>
      <c r="C32" s="44"/>
      <c r="D32" s="40"/>
      <c r="E32" s="57"/>
      <c r="F32" s="44"/>
      <c r="G32" s="35"/>
      <c r="H32" s="37"/>
      <c r="I32" s="38"/>
    </row>
    <row r="33" spans="1:9" ht="110.4" customHeight="1" thickBot="1" x14ac:dyDescent="0.3">
      <c r="A33" s="63"/>
      <c r="B33" s="59"/>
      <c r="C33" s="44"/>
      <c r="D33" s="44"/>
      <c r="E33" s="57"/>
      <c r="F33" s="44"/>
      <c r="G33" s="35"/>
      <c r="H33" s="37"/>
      <c r="I33" s="38"/>
    </row>
    <row r="34" spans="1:9" ht="93" customHeight="1" thickBot="1" x14ac:dyDescent="0.3">
      <c r="A34" s="63"/>
      <c r="B34" s="59"/>
      <c r="C34" s="44"/>
      <c r="D34" s="44"/>
      <c r="E34" s="57"/>
      <c r="F34" s="44"/>
      <c r="G34" s="35"/>
      <c r="H34" s="37"/>
      <c r="I34" s="38"/>
    </row>
    <row r="35" spans="1:9" ht="93" customHeight="1" thickBot="1" x14ac:dyDescent="0.3">
      <c r="A35" s="63"/>
      <c r="B35" s="59"/>
      <c r="C35" s="44"/>
      <c r="D35" s="44"/>
      <c r="E35" s="57"/>
      <c r="F35" s="44"/>
      <c r="G35" s="35"/>
      <c r="H35" s="37"/>
      <c r="I35" s="38"/>
    </row>
    <row r="36" spans="1:9" ht="93" customHeight="1" thickBot="1" x14ac:dyDescent="0.3">
      <c r="A36" s="63"/>
      <c r="B36" s="59"/>
      <c r="C36" s="44"/>
      <c r="D36" s="44"/>
      <c r="E36" s="57"/>
      <c r="F36" s="44"/>
      <c r="G36" s="35"/>
      <c r="H36" s="37"/>
      <c r="I36" s="38"/>
    </row>
    <row r="37" spans="1:9" ht="93" customHeight="1" thickBot="1" x14ac:dyDescent="0.3">
      <c r="A37" s="63"/>
      <c r="B37" s="59"/>
      <c r="C37" s="44"/>
      <c r="D37" s="44"/>
      <c r="E37" s="57"/>
      <c r="F37" s="44"/>
      <c r="G37" s="35"/>
      <c r="H37" s="37"/>
      <c r="I37" s="38"/>
    </row>
    <row r="38" spans="1:9" ht="93" customHeight="1" thickBot="1" x14ac:dyDescent="0.3">
      <c r="A38" s="63"/>
      <c r="B38" s="59"/>
      <c r="C38" s="44"/>
      <c r="D38" s="44"/>
      <c r="E38" s="57"/>
      <c r="F38" s="44"/>
      <c r="G38" s="35"/>
      <c r="H38" s="37"/>
      <c r="I38" s="38"/>
    </row>
    <row r="39" spans="1:9" ht="93" customHeight="1" thickBot="1" x14ac:dyDescent="0.3">
      <c r="A39" s="63"/>
      <c r="B39" s="59"/>
      <c r="C39" s="44"/>
      <c r="D39" s="44"/>
      <c r="E39" s="57"/>
      <c r="F39" s="44"/>
      <c r="G39" s="35"/>
      <c r="H39" s="37"/>
      <c r="I39" s="38"/>
    </row>
    <row r="40" spans="1:9" ht="93" customHeight="1" thickBot="1" x14ac:dyDescent="0.3">
      <c r="A40" s="63"/>
      <c r="B40" s="59"/>
      <c r="C40" s="44"/>
      <c r="D40" s="44"/>
      <c r="E40" s="57"/>
      <c r="F40" s="44"/>
      <c r="G40" s="35"/>
      <c r="H40" s="37"/>
      <c r="I40" s="38"/>
    </row>
    <row r="41" spans="1:9" ht="93" customHeight="1" thickBot="1" x14ac:dyDescent="0.3">
      <c r="A41" s="63"/>
      <c r="B41" s="59"/>
      <c r="C41" s="44"/>
      <c r="D41" s="44"/>
      <c r="E41" s="57"/>
      <c r="F41" s="44"/>
      <c r="G41" s="35"/>
      <c r="H41" s="37"/>
      <c r="I41" s="38"/>
    </row>
  </sheetData>
  <mergeCells count="1">
    <mergeCell ref="A19:I19"/>
  </mergeCells>
  <phoneticPr fontId="16" type="noConversion"/>
  <conditionalFormatting sqref="I2:I18">
    <cfRule type="cellIs" dxfId="7" priority="5" operator="equal">
      <formula>"Holding"</formula>
    </cfRule>
    <cfRule type="cellIs" dxfId="6" priority="6" operator="equal">
      <formula>"Completed"</formula>
    </cfRule>
  </conditionalFormatting>
  <conditionalFormatting sqref="I2:I41">
    <cfRule type="containsText" dxfId="5" priority="1" operator="containsText" text="opened">
      <formula>NOT(ISERROR(SEARCH("opened",I2)))</formula>
    </cfRule>
    <cfRule type="containsText" dxfId="4" priority="2" operator="containsText" text="closed">
      <formula>NOT(ISERROR(SEARCH("closed",I2)))</formula>
    </cfRule>
  </conditionalFormatting>
  <conditionalFormatting sqref="I20:I41">
    <cfRule type="cellIs" dxfId="3" priority="3" operator="equal">
      <formula>"Holding"</formula>
    </cfRule>
    <cfRule type="cellIs" dxfId="2" priority="4" operator="equal">
      <formula>"Completed"</formula>
    </cfRule>
  </conditionalFormatting>
  <conditionalFormatting sqref="I42:I97">
    <cfRule type="containsText" dxfId="1" priority="7" operator="containsText" text="open">
      <formula>NOT(ISERROR(SEARCH("open",I42)))</formula>
    </cfRule>
    <cfRule type="containsText" dxfId="0" priority="8" operator="containsText" text="closed">
      <formula>NOT(ISERROR(SEARCH("closed",I42)))</formula>
    </cfRule>
  </conditionalFormatting>
  <dataValidations count="1">
    <dataValidation type="list" allowBlank="1" showInputMessage="1" showErrorMessage="1" errorTitle="Geçersiz Değer" error="Lütfen listeden seçin: open veya closed" sqref="I2:I97" xr:uid="{766463DC-64DA-4446-A05E-4404C3E1C46C}">
      <formula1>"open,closed"</formula1>
    </dataValidation>
  </dataValidation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38"/>
  <sheetViews>
    <sheetView view="pageBreakPreview" topLeftCell="A10" zoomScale="74" zoomScaleNormal="85" zoomScaleSheetLayoutView="74" zoomScalePageLayoutView="85" workbookViewId="0">
      <selection activeCell="R13" sqref="R13"/>
    </sheetView>
  </sheetViews>
  <sheetFormatPr defaultColWidth="11.453125" defaultRowHeight="12.5" x14ac:dyDescent="0.25"/>
  <cols>
    <col min="1" max="2" width="12" customWidth="1"/>
    <col min="3" max="4" width="7" bestFit="1" customWidth="1"/>
    <col min="5" max="6" width="5.81640625" customWidth="1"/>
    <col min="7" max="7" width="8.1796875" bestFit="1" customWidth="1"/>
    <col min="8" max="8" width="8.81640625" customWidth="1"/>
    <col min="9" max="16" width="5.81640625" customWidth="1"/>
    <col min="17" max="19" width="12" customWidth="1"/>
    <col min="24" max="24" width="12.81640625" customWidth="1"/>
  </cols>
  <sheetData>
    <row r="1" spans="1:21" ht="15.75" customHeight="1" x14ac:dyDescent="0.25"/>
    <row r="2" spans="1:21" ht="17.25" customHeight="1" x14ac:dyDescent="0.35">
      <c r="G2" s="9" t="s">
        <v>35</v>
      </c>
      <c r="H2" s="9" t="s">
        <v>36</v>
      </c>
      <c r="K2" s="2"/>
    </row>
    <row r="3" spans="1:21" ht="17.25" customHeight="1" x14ac:dyDescent="0.4">
      <c r="A3" s="1"/>
      <c r="B3" s="82" t="s">
        <v>37</v>
      </c>
      <c r="C3" s="82"/>
      <c r="D3" s="82"/>
      <c r="E3" s="82"/>
      <c r="F3" s="82"/>
      <c r="G3" s="11"/>
      <c r="H3" s="8">
        <v>0</v>
      </c>
      <c r="K3" s="2"/>
    </row>
    <row r="4" spans="1:21" ht="17.25" customHeight="1" x14ac:dyDescent="0.4">
      <c r="A4" s="1"/>
      <c r="B4" s="82" t="s">
        <v>38</v>
      </c>
      <c r="C4" s="82"/>
      <c r="D4" s="82"/>
      <c r="E4" s="82"/>
      <c r="F4" s="82"/>
      <c r="G4" s="15"/>
      <c r="H4" s="8">
        <v>0</v>
      </c>
      <c r="K4" s="2"/>
    </row>
    <row r="5" spans="1:21" ht="17.25" customHeight="1" x14ac:dyDescent="0.35">
      <c r="B5" s="82" t="s">
        <v>39</v>
      </c>
      <c r="C5" s="82"/>
      <c r="D5" s="82"/>
      <c r="E5" s="82"/>
      <c r="F5" s="82"/>
      <c r="G5" s="83">
        <v>0</v>
      </c>
      <c r="H5" s="83"/>
      <c r="K5" s="2"/>
    </row>
    <row r="6" spans="1:21" ht="14" x14ac:dyDescent="0.25">
      <c r="B6" s="82" t="s">
        <v>40</v>
      </c>
      <c r="C6" s="82"/>
      <c r="D6" s="82"/>
      <c r="E6" s="82"/>
      <c r="F6" s="82"/>
      <c r="G6" s="83">
        <v>0</v>
      </c>
      <c r="H6" s="83"/>
    </row>
    <row r="8" spans="1:21" ht="18" customHeight="1" x14ac:dyDescent="0.25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</row>
    <row r="9" spans="1:21" ht="9" customHeight="1" x14ac:dyDescent="0.25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</row>
    <row r="10" spans="1:21" ht="18" customHeight="1" thickBot="1" x14ac:dyDescent="0.3">
      <c r="A10" s="69" t="s">
        <v>41</v>
      </c>
      <c r="B10" s="69"/>
      <c r="C10" s="69"/>
      <c r="D10" s="69"/>
      <c r="E10" s="69"/>
      <c r="F10" s="69"/>
      <c r="G10" s="69"/>
      <c r="H10" s="69"/>
      <c r="I10" s="69"/>
      <c r="J10" s="69"/>
      <c r="K10" s="69"/>
      <c r="L10" s="69"/>
      <c r="M10" s="69"/>
      <c r="N10" s="69"/>
      <c r="O10" s="69"/>
      <c r="P10" s="69"/>
    </row>
    <row r="11" spans="1:21" ht="13" thickBot="1" x14ac:dyDescent="0.3">
      <c r="A11" s="3"/>
      <c r="B11" s="3"/>
      <c r="C11" s="3" t="s">
        <v>50</v>
      </c>
      <c r="D11" s="3" t="s">
        <v>67</v>
      </c>
      <c r="E11" s="3" t="s">
        <v>52</v>
      </c>
      <c r="F11" s="3" t="s">
        <v>53</v>
      </c>
      <c r="G11" s="3" t="s">
        <v>42</v>
      </c>
      <c r="H11" s="3" t="s">
        <v>43</v>
      </c>
      <c r="I11" s="3" t="s">
        <v>44</v>
      </c>
      <c r="J11" s="3" t="s">
        <v>45</v>
      </c>
      <c r="K11" s="3" t="s">
        <v>46</v>
      </c>
      <c r="L11" s="3" t="s">
        <v>47</v>
      </c>
      <c r="M11" s="3" t="s">
        <v>48</v>
      </c>
      <c r="N11" s="3" t="s">
        <v>49</v>
      </c>
      <c r="O11" s="70" t="s">
        <v>54</v>
      </c>
      <c r="P11" s="70"/>
    </row>
    <row r="12" spans="1:21" ht="17.25" customHeight="1" x14ac:dyDescent="0.3">
      <c r="A12" s="4" t="s">
        <v>55</v>
      </c>
      <c r="B12" s="4"/>
      <c r="C12" s="25">
        <v>208</v>
      </c>
      <c r="D12" s="25">
        <v>0</v>
      </c>
      <c r="E12" s="25">
        <v>0</v>
      </c>
      <c r="F12" s="25">
        <v>0</v>
      </c>
      <c r="G12" s="25">
        <v>0</v>
      </c>
      <c r="H12" s="25">
        <v>0</v>
      </c>
      <c r="I12" s="25">
        <v>0</v>
      </c>
      <c r="J12" s="25">
        <v>0</v>
      </c>
      <c r="K12" s="25">
        <v>0</v>
      </c>
      <c r="L12" s="25"/>
      <c r="M12" s="25"/>
      <c r="N12" s="25"/>
      <c r="O12" s="76">
        <f>SUM(C12:N12)</f>
        <v>208</v>
      </c>
      <c r="P12" s="76"/>
    </row>
    <row r="13" spans="1:21" ht="42" customHeight="1" x14ac:dyDescent="0.3">
      <c r="A13" s="77" t="s">
        <v>56</v>
      </c>
      <c r="B13" s="77"/>
      <c r="C13" s="13">
        <v>2296</v>
      </c>
      <c r="D13" s="13">
        <v>0</v>
      </c>
      <c r="E13" s="13">
        <v>0</v>
      </c>
      <c r="F13" s="13">
        <v>0</v>
      </c>
      <c r="G13" s="13">
        <v>0</v>
      </c>
      <c r="H13" s="13">
        <v>0</v>
      </c>
      <c r="I13" s="13">
        <v>0</v>
      </c>
      <c r="J13" s="13">
        <v>0</v>
      </c>
      <c r="K13" s="13">
        <v>0</v>
      </c>
      <c r="L13" s="13"/>
      <c r="M13" s="13"/>
      <c r="N13" s="13"/>
      <c r="O13" s="78">
        <f>SUM(C13:N13)</f>
        <v>2296</v>
      </c>
      <c r="P13" s="78"/>
      <c r="U13" t="s">
        <v>57</v>
      </c>
    </row>
    <row r="14" spans="1:21" ht="15.75" customHeight="1" x14ac:dyDescent="0.3">
      <c r="A14" s="79" t="s">
        <v>58</v>
      </c>
      <c r="B14" s="79"/>
      <c r="C14" s="14">
        <f>SUM(C12,C13)</f>
        <v>2504</v>
      </c>
      <c r="D14" s="14">
        <f>SUM(D12,D13)</f>
        <v>0</v>
      </c>
      <c r="E14" s="14">
        <f t="shared" ref="E14:M14" si="0">SUM(E12,E13,S14)</f>
        <v>0</v>
      </c>
      <c r="F14" s="14">
        <f t="shared" si="0"/>
        <v>0</v>
      </c>
      <c r="G14" s="14">
        <f t="shared" si="0"/>
        <v>0</v>
      </c>
      <c r="H14" s="14">
        <f t="shared" si="0"/>
        <v>0</v>
      </c>
      <c r="I14" s="14">
        <f t="shared" si="0"/>
        <v>0</v>
      </c>
      <c r="J14" s="14">
        <f t="shared" si="0"/>
        <v>0</v>
      </c>
      <c r="K14" s="14">
        <f t="shared" si="0"/>
        <v>0</v>
      </c>
      <c r="L14" s="14">
        <f t="shared" si="0"/>
        <v>0</v>
      </c>
      <c r="M14" s="14">
        <f t="shared" si="0"/>
        <v>0</v>
      </c>
      <c r="N14" s="14">
        <f>SUM(N12,N13,AA14)</f>
        <v>0</v>
      </c>
      <c r="O14" s="80">
        <f>SUM(O12,O13,Q14)</f>
        <v>2504</v>
      </c>
      <c r="P14" s="80"/>
    </row>
    <row r="15" spans="1:21" ht="24.75" customHeight="1" x14ac:dyDescent="0.3">
      <c r="A15" s="75"/>
      <c r="B15" s="75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81"/>
      <c r="P15" s="81"/>
    </row>
    <row r="16" spans="1:21" ht="8.25" customHeight="1" x14ac:dyDescent="0.3">
      <c r="A16" s="17"/>
      <c r="B16" s="17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18"/>
      <c r="P16" s="18"/>
    </row>
    <row r="17" spans="1:17" ht="18" customHeight="1" thickBot="1" x14ac:dyDescent="0.3">
      <c r="A17" s="69" t="s">
        <v>59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</row>
    <row r="18" spans="1:17" ht="13.5" customHeight="1" thickBot="1" x14ac:dyDescent="0.3">
      <c r="A18" s="3"/>
      <c r="B18" s="3"/>
      <c r="C18" s="3" t="s">
        <v>50</v>
      </c>
      <c r="D18" s="3" t="s">
        <v>51</v>
      </c>
      <c r="E18" s="3" t="s">
        <v>52</v>
      </c>
      <c r="F18" s="3" t="s">
        <v>53</v>
      </c>
      <c r="G18" s="3" t="s">
        <v>42</v>
      </c>
      <c r="H18" s="3" t="s">
        <v>43</v>
      </c>
      <c r="I18" s="3" t="s">
        <v>44</v>
      </c>
      <c r="J18" s="3" t="s">
        <v>45</v>
      </c>
      <c r="K18" s="3" t="s">
        <v>46</v>
      </c>
      <c r="L18" s="3" t="s">
        <v>47</v>
      </c>
      <c r="M18" s="3" t="s">
        <v>48</v>
      </c>
      <c r="N18" s="3" t="s">
        <v>49</v>
      </c>
      <c r="O18" s="70" t="s">
        <v>54</v>
      </c>
      <c r="P18" s="70"/>
      <c r="Q18" s="23"/>
    </row>
    <row r="19" spans="1:17" ht="13.5" customHeight="1" thickBot="1" x14ac:dyDescent="0.3">
      <c r="A19" s="64" t="s">
        <v>11</v>
      </c>
      <c r="B19" s="64"/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65">
        <v>0</v>
      </c>
      <c r="P19" s="65"/>
    </row>
    <row r="20" spans="1:17" ht="13.5" customHeight="1" thickBot="1" x14ac:dyDescent="0.3">
      <c r="A20" s="64" t="s">
        <v>12</v>
      </c>
      <c r="B20" s="64"/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65">
        <f t="shared" ref="O20:O26" si="1">SUM(C20:N20,Q20)</f>
        <v>0</v>
      </c>
      <c r="P20" s="65"/>
      <c r="Q20" s="22"/>
    </row>
    <row r="21" spans="1:17" ht="13.5" customHeight="1" thickBot="1" x14ac:dyDescent="0.3">
      <c r="A21" s="64" t="s">
        <v>14</v>
      </c>
      <c r="B21" s="64"/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65">
        <f t="shared" si="1"/>
        <v>0</v>
      </c>
      <c r="P21" s="65"/>
    </row>
    <row r="22" spans="1:17" ht="13.5" customHeight="1" thickBot="1" x14ac:dyDescent="0.3">
      <c r="A22" s="64" t="s">
        <v>15</v>
      </c>
      <c r="B22" s="64"/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/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65">
        <f t="shared" si="1"/>
        <v>0</v>
      </c>
      <c r="P22" s="65"/>
      <c r="Q22" s="22"/>
    </row>
    <row r="23" spans="1:17" ht="13.5" customHeight="1" thickBot="1" x14ac:dyDescent="0.3">
      <c r="A23" s="64" t="s">
        <v>16</v>
      </c>
      <c r="B23" s="64"/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65">
        <f t="shared" si="1"/>
        <v>0</v>
      </c>
      <c r="P23" s="65"/>
      <c r="Q23" s="22"/>
    </row>
    <row r="24" spans="1:17" ht="13.5" customHeight="1" thickBot="1" x14ac:dyDescent="0.3">
      <c r="A24" s="64" t="s">
        <v>17</v>
      </c>
      <c r="B24" s="64"/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65">
        <f t="shared" si="1"/>
        <v>0</v>
      </c>
      <c r="P24" s="65"/>
      <c r="Q24" s="22"/>
    </row>
    <row r="25" spans="1:17" ht="13.5" customHeight="1" thickBot="1" x14ac:dyDescent="0.3">
      <c r="A25" s="64" t="s">
        <v>18</v>
      </c>
      <c r="B25" s="64"/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65">
        <f t="shared" si="1"/>
        <v>0</v>
      </c>
      <c r="P25" s="65"/>
      <c r="Q25" s="22"/>
    </row>
    <row r="26" spans="1:17" ht="13.5" customHeight="1" thickBot="1" x14ac:dyDescent="0.3">
      <c r="A26" s="64" t="s">
        <v>19</v>
      </c>
      <c r="B26" s="64"/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65">
        <f t="shared" si="1"/>
        <v>0</v>
      </c>
      <c r="P26" s="65"/>
    </row>
    <row r="27" spans="1:17" ht="9.75" customHeight="1" x14ac:dyDescent="0.25">
      <c r="A27" s="68"/>
      <c r="B27" s="68"/>
      <c r="C27" s="68"/>
      <c r="D27" s="68"/>
      <c r="E27" s="68"/>
      <c r="F27" s="68"/>
      <c r="G27" s="68"/>
      <c r="H27" s="68"/>
      <c r="I27" s="68"/>
      <c r="J27" s="68"/>
      <c r="K27" s="68"/>
      <c r="L27" s="68"/>
      <c r="M27" s="68"/>
      <c r="N27" s="68"/>
      <c r="O27" s="68"/>
      <c r="P27" s="68"/>
    </row>
    <row r="28" spans="1:17" ht="18" customHeight="1" thickBot="1" x14ac:dyDescent="0.3">
      <c r="A28" s="69" t="s">
        <v>0</v>
      </c>
      <c r="B28" s="69"/>
      <c r="C28" s="69"/>
      <c r="D28" s="69"/>
      <c r="E28" s="69"/>
      <c r="F28" s="69"/>
      <c r="G28" s="69"/>
      <c r="H28" s="69"/>
      <c r="I28" s="69"/>
      <c r="J28" s="69"/>
      <c r="K28" s="69"/>
      <c r="L28" s="69"/>
      <c r="M28" s="69"/>
      <c r="N28" s="69"/>
      <c r="O28" s="69"/>
      <c r="P28" s="69"/>
    </row>
    <row r="29" spans="1:17" ht="13.5" customHeight="1" thickBot="1" x14ac:dyDescent="0.3">
      <c r="A29" s="3"/>
      <c r="B29" s="3"/>
      <c r="C29" s="3" t="s">
        <v>50</v>
      </c>
      <c r="D29" s="3" t="s">
        <v>67</v>
      </c>
      <c r="E29" s="3" t="s">
        <v>52</v>
      </c>
      <c r="F29" s="3" t="s">
        <v>68</v>
      </c>
      <c r="G29" s="3" t="s">
        <v>60</v>
      </c>
      <c r="H29" s="3" t="s">
        <v>61</v>
      </c>
      <c r="I29" s="3" t="s">
        <v>62</v>
      </c>
      <c r="J29" s="3" t="s">
        <v>63</v>
      </c>
      <c r="K29" s="3" t="s">
        <v>64</v>
      </c>
      <c r="L29" s="3" t="s">
        <v>65</v>
      </c>
      <c r="M29" s="3" t="s">
        <v>66</v>
      </c>
      <c r="N29" s="3" t="s">
        <v>49</v>
      </c>
      <c r="O29" s="70" t="s">
        <v>54</v>
      </c>
      <c r="P29" s="70"/>
    </row>
    <row r="30" spans="1:17" ht="13.5" customHeight="1" x14ac:dyDescent="0.25">
      <c r="A30" s="71" t="s">
        <v>69</v>
      </c>
      <c r="B30" s="71"/>
      <c r="C30" s="10">
        <f>IF(SUM($C14:C14)&lt;&gt;0,(SUM($C19:C20))*200000/(SUM($C14:C14)),0)</f>
        <v>0</v>
      </c>
      <c r="D30" s="10">
        <f>IF(SUM($C14:D14)&lt;&gt;0,(SUM($C19:D20))*200000/(SUM($C14:D14)),0)</f>
        <v>0</v>
      </c>
      <c r="E30" s="10">
        <f>IF(SUM($C14:E14)&lt;&gt;0,(SUM($C19:E20))*200000/(SUM($C14:E14)),0)</f>
        <v>0</v>
      </c>
      <c r="F30" s="10">
        <f>IF(SUM($C14:F14)&lt;&gt;0,(SUM($C19:F20))*200000/(SUM($C14:F14)),0)</f>
        <v>0</v>
      </c>
      <c r="G30" s="10">
        <f>IF(SUM($C14:G14)&lt;&gt;0,(SUM($C19:G20))*200000/(SUM($C14:G14)),0)</f>
        <v>0</v>
      </c>
      <c r="H30" s="10">
        <f>IF(SUM($C14:H14)&lt;&gt;0,(SUM($C19:H20))*200000/(SUM($C14:H14)),0)</f>
        <v>0</v>
      </c>
      <c r="I30" s="10">
        <f>IF(SUM($C14:I14)&lt;&gt;0,(SUM($C19:I20))*200000/(SUM($C14:I14)),0)</f>
        <v>0</v>
      </c>
      <c r="J30" s="10">
        <f>IF(SUM($C14:J14)&lt;&gt;0,(SUM($C19:J20))*200000/(SUM($C14:J14)),0)</f>
        <v>0</v>
      </c>
      <c r="K30" s="10">
        <f>IF(SUM($C14:K14)&lt;&gt;0,(SUM($C19:K20))*200000/(SUM($C14:K14)),0)</f>
        <v>0</v>
      </c>
      <c r="L30" s="10">
        <f>IF(SUM($C14:L14)&lt;&gt;0,(SUM($C19:L20))*200000/(SUM($C14:L14)),0)</f>
        <v>0</v>
      </c>
      <c r="M30" s="10">
        <f>IF(SUM($C14:M14)&lt;&gt;0,(SUM($C19:M20))*200000/(SUM($C14:M14)),0)</f>
        <v>0</v>
      </c>
      <c r="N30" s="10">
        <f>IF(SUM($C14:N14)&lt;&gt;0,(SUM($C19:N20))*200000/(SUM($C14:N14)),0)</f>
        <v>0</v>
      </c>
      <c r="O30" s="72">
        <f>IF(O14&lt;&gt;0,(O19+O20)*200000/O14,0)</f>
        <v>0</v>
      </c>
      <c r="P30" s="72"/>
    </row>
    <row r="31" spans="1:17" ht="13.5" customHeight="1" x14ac:dyDescent="0.25">
      <c r="A31" s="73" t="s">
        <v>70</v>
      </c>
      <c r="B31" s="73"/>
      <c r="C31" s="10">
        <f>IF((SUM($C14:C14))&lt;&gt;0,((SUM($C20:C22))*200000)/(SUM($C14:C14)),0)</f>
        <v>0</v>
      </c>
      <c r="D31" s="10">
        <f>IF((SUM($C14:D14))&lt;&gt;0,((SUM($C20:D22))*200000)/(SUM($C14:D14)),0)</f>
        <v>0</v>
      </c>
      <c r="E31" s="10">
        <f>IF((SUM($C14:E14))&lt;&gt;0,((SUM($C20:E22))*200000)/(SUM($C14:E14)),0)</f>
        <v>0</v>
      </c>
      <c r="F31" s="10">
        <f>IF((SUM($C14:F14))&lt;&gt;0,((SUM($C20:F22))*200000)/(SUM($C14:F14)),0)</f>
        <v>0</v>
      </c>
      <c r="G31" s="10">
        <f>IF((SUM($C14:G14))&lt;&gt;0,((SUM($C20:G22))*200000)/(SUM($C14:G14)),0)</f>
        <v>0</v>
      </c>
      <c r="H31" s="10">
        <f>IF((SUM($C14:H14))&lt;&gt;0,((SUM($C20:H22))*200000)/(SUM($C14:H14)),0)</f>
        <v>0</v>
      </c>
      <c r="I31" s="10">
        <v>0</v>
      </c>
      <c r="J31" s="10">
        <v>0</v>
      </c>
      <c r="K31" s="10">
        <v>0</v>
      </c>
      <c r="L31" s="10">
        <v>0</v>
      </c>
      <c r="M31" s="10">
        <v>0</v>
      </c>
      <c r="N31" s="10">
        <v>0</v>
      </c>
      <c r="O31" s="74">
        <v>0</v>
      </c>
      <c r="P31" s="74"/>
    </row>
    <row r="32" spans="1:17" ht="13.5" customHeight="1" thickBot="1" x14ac:dyDescent="0.3">
      <c r="A32" s="66" t="s">
        <v>71</v>
      </c>
      <c r="B32" s="66"/>
      <c r="C32" s="7">
        <f t="shared" ref="C32:O32" si="2">IF(C14&lt;&gt;0,C26*1000/C14,0)</f>
        <v>0</v>
      </c>
      <c r="D32" s="7">
        <f t="shared" si="2"/>
        <v>0</v>
      </c>
      <c r="E32" s="7">
        <f t="shared" si="2"/>
        <v>0</v>
      </c>
      <c r="F32" s="7">
        <f t="shared" si="2"/>
        <v>0</v>
      </c>
      <c r="G32" s="7">
        <f t="shared" si="2"/>
        <v>0</v>
      </c>
      <c r="H32" s="7">
        <f t="shared" si="2"/>
        <v>0</v>
      </c>
      <c r="I32" s="7">
        <f t="shared" si="2"/>
        <v>0</v>
      </c>
      <c r="J32" s="7">
        <f t="shared" si="2"/>
        <v>0</v>
      </c>
      <c r="K32" s="7">
        <f t="shared" si="2"/>
        <v>0</v>
      </c>
      <c r="L32" s="7">
        <f t="shared" si="2"/>
        <v>0</v>
      </c>
      <c r="M32" s="7">
        <f t="shared" si="2"/>
        <v>0</v>
      </c>
      <c r="N32" s="7">
        <f t="shared" ref="N32" si="3">IF(N14&lt;&gt;0,N26*1000/N14,0)</f>
        <v>0</v>
      </c>
      <c r="O32" s="67">
        <f t="shared" si="2"/>
        <v>0</v>
      </c>
      <c r="P32" s="67"/>
    </row>
    <row r="35" ht="18" customHeight="1" x14ac:dyDescent="0.25"/>
    <row r="36" ht="17.25" customHeight="1" x14ac:dyDescent="0.25"/>
    <row r="37" ht="17.25" customHeight="1" x14ac:dyDescent="0.25"/>
    <row r="38" ht="17.25" customHeight="1" x14ac:dyDescent="0.25"/>
  </sheetData>
  <mergeCells count="42">
    <mergeCell ref="O20:P20"/>
    <mergeCell ref="B3:F3"/>
    <mergeCell ref="B4:F4"/>
    <mergeCell ref="B5:F5"/>
    <mergeCell ref="G5:H5"/>
    <mergeCell ref="B6:F6"/>
    <mergeCell ref="G6:H6"/>
    <mergeCell ref="A21:B21"/>
    <mergeCell ref="O21:P21"/>
    <mergeCell ref="A15:B15"/>
    <mergeCell ref="A10:P10"/>
    <mergeCell ref="O11:P11"/>
    <mergeCell ref="O12:P12"/>
    <mergeCell ref="A13:B13"/>
    <mergeCell ref="O13:P13"/>
    <mergeCell ref="A14:B14"/>
    <mergeCell ref="O14:P14"/>
    <mergeCell ref="O15:P15"/>
    <mergeCell ref="A17:P17"/>
    <mergeCell ref="O18:P18"/>
    <mergeCell ref="A19:B19"/>
    <mergeCell ref="O19:P19"/>
    <mergeCell ref="A20:B20"/>
    <mergeCell ref="A32:B32"/>
    <mergeCell ref="O32:P32"/>
    <mergeCell ref="A27:P27"/>
    <mergeCell ref="A28:P28"/>
    <mergeCell ref="O29:P29"/>
    <mergeCell ref="A30:B30"/>
    <mergeCell ref="O30:P30"/>
    <mergeCell ref="A31:B31"/>
    <mergeCell ref="O31:P31"/>
    <mergeCell ref="A25:B25"/>
    <mergeCell ref="O25:P25"/>
    <mergeCell ref="A26:B26"/>
    <mergeCell ref="O26:P26"/>
    <mergeCell ref="A22:B22"/>
    <mergeCell ref="O22:P22"/>
    <mergeCell ref="A23:B23"/>
    <mergeCell ref="O23:P23"/>
    <mergeCell ref="A24:B24"/>
    <mergeCell ref="O24:P24"/>
  </mergeCells>
  <phoneticPr fontId="16" type="noConversion"/>
  <pageMargins left="1.4173228346456694" right="0.23622047244094491" top="0.31496062992125984" bottom="0.74803149606299213" header="0.31496062992125984" footer="0.31496062992125984"/>
  <pageSetup paperSize="9" scale="74" fitToHeight="2" orientation="landscape" r:id="rId1"/>
  <headerFooter>
    <oddFooter xml:space="preserve">&amp;L&amp;9Siemens AS
PS WP TR EHS &amp;R&amp;9Reference: PSWP_TR_EHS_Monthly Report </oddFooter>
  </headerFooter>
  <rowBreaks count="1" manualBreakCount="1">
    <brk id="9" max="18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"/>
  <sheetViews>
    <sheetView zoomScale="70" zoomScaleNormal="70" workbookViewId="0">
      <selection activeCell="D6" sqref="D6"/>
    </sheetView>
  </sheetViews>
  <sheetFormatPr defaultRowHeight="12.5" x14ac:dyDescent="0.25"/>
  <cols>
    <col min="1" max="1" width="23.1796875" bestFit="1" customWidth="1"/>
    <col min="2" max="3" width="8.81640625" customWidth="1"/>
  </cols>
  <sheetData>
    <row r="1" spans="1:14" ht="14" x14ac:dyDescent="0.25">
      <c r="A1" s="27" t="s">
        <v>0</v>
      </c>
      <c r="B1" s="28"/>
      <c r="C1" s="28"/>
      <c r="D1" s="28"/>
      <c r="E1" s="28"/>
      <c r="F1" s="28"/>
      <c r="G1" s="28"/>
      <c r="H1" s="28"/>
      <c r="I1" s="28"/>
      <c r="J1" s="84"/>
      <c r="K1" s="84"/>
      <c r="L1" s="84"/>
      <c r="M1" s="84"/>
    </row>
    <row r="2" spans="1:14" ht="14" x14ac:dyDescent="0.25">
      <c r="A2" s="27" t="s">
        <v>1</v>
      </c>
      <c r="B2" s="28" t="s">
        <v>83</v>
      </c>
      <c r="C2" s="28" t="s">
        <v>84</v>
      </c>
      <c r="D2" s="28" t="s">
        <v>85</v>
      </c>
      <c r="E2" s="28" t="s">
        <v>86</v>
      </c>
      <c r="F2" s="28" t="s">
        <v>87</v>
      </c>
      <c r="G2" s="28" t="s">
        <v>88</v>
      </c>
      <c r="H2" s="28" t="s">
        <v>89</v>
      </c>
      <c r="I2" s="28" t="s">
        <v>90</v>
      </c>
      <c r="J2" s="28" t="s">
        <v>91</v>
      </c>
      <c r="K2" s="28" t="s">
        <v>92</v>
      </c>
      <c r="L2" s="28" t="s">
        <v>93</v>
      </c>
      <c r="M2" s="28" t="s">
        <v>94</v>
      </c>
    </row>
    <row r="3" spans="1:14" ht="15.5" x14ac:dyDescent="0.35">
      <c r="A3" s="19" t="s">
        <v>72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50" t="s">
        <v>73</v>
      </c>
    </row>
    <row r="4" spans="1:14" ht="15.5" x14ac:dyDescent="0.35">
      <c r="A4" s="19" t="s">
        <v>74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50" t="s">
        <v>75</v>
      </c>
    </row>
    <row r="5" spans="1:14" ht="15.5" x14ac:dyDescent="0.35">
      <c r="A5" s="19" t="s">
        <v>76</v>
      </c>
      <c r="B5" s="19"/>
      <c r="C5" s="19"/>
      <c r="D5" s="19"/>
      <c r="E5" s="19"/>
      <c r="F5" s="19"/>
      <c r="G5" s="19"/>
      <c r="H5" s="19"/>
      <c r="I5" s="19"/>
      <c r="J5" s="19"/>
      <c r="K5" s="19"/>
      <c r="L5" s="19"/>
      <c r="M5" s="30"/>
      <c r="N5" s="49" t="s">
        <v>77</v>
      </c>
    </row>
    <row r="6" spans="1:14" ht="15.5" x14ac:dyDescent="0.35">
      <c r="A6" s="19" t="s">
        <v>78</v>
      </c>
      <c r="B6" s="19"/>
      <c r="C6" s="19"/>
      <c r="D6" s="19"/>
      <c r="E6" s="19"/>
      <c r="F6" s="19"/>
      <c r="G6" s="19"/>
      <c r="H6" s="19"/>
      <c r="I6" s="19"/>
      <c r="J6" s="19"/>
      <c r="K6" s="19"/>
      <c r="L6" s="19"/>
      <c r="M6" s="19"/>
      <c r="N6" s="49" t="s">
        <v>77</v>
      </c>
    </row>
    <row r="7" spans="1:14" ht="15.5" x14ac:dyDescent="0.35">
      <c r="A7" s="31" t="s">
        <v>79</v>
      </c>
      <c r="B7" s="31"/>
      <c r="C7" s="19"/>
      <c r="D7" s="31"/>
      <c r="E7" s="31"/>
      <c r="F7" s="31"/>
      <c r="G7" s="31"/>
      <c r="H7" s="31"/>
      <c r="I7" s="31"/>
      <c r="J7" s="31"/>
      <c r="K7" s="31"/>
      <c r="L7" s="31"/>
      <c r="M7" s="31"/>
      <c r="N7" s="49" t="s">
        <v>77</v>
      </c>
    </row>
    <row r="8" spans="1:14" ht="15.5" x14ac:dyDescent="0.35">
      <c r="A8" s="31" t="s">
        <v>80</v>
      </c>
      <c r="B8" s="31"/>
      <c r="C8" s="19"/>
      <c r="D8" s="31"/>
      <c r="E8" s="31"/>
      <c r="F8" s="31"/>
      <c r="G8" s="31"/>
      <c r="H8" s="31"/>
      <c r="I8" s="31"/>
      <c r="J8" s="31"/>
      <c r="K8" s="31"/>
      <c r="L8" s="33"/>
      <c r="M8" s="31"/>
      <c r="N8" s="49" t="s">
        <v>77</v>
      </c>
    </row>
    <row r="9" spans="1:14" ht="15.5" x14ac:dyDescent="0.35">
      <c r="A9" s="31" t="s">
        <v>81</v>
      </c>
      <c r="B9" s="30"/>
      <c r="C9" s="19"/>
      <c r="D9" s="30"/>
      <c r="E9" s="30"/>
      <c r="F9" s="30"/>
      <c r="G9" s="30"/>
      <c r="H9" s="30"/>
      <c r="I9" s="30"/>
      <c r="J9" s="30"/>
      <c r="K9" s="30"/>
      <c r="L9" s="30"/>
      <c r="M9" s="30"/>
      <c r="N9" s="49" t="s">
        <v>77</v>
      </c>
    </row>
    <row r="10" spans="1:14" ht="15.5" x14ac:dyDescent="0.35">
      <c r="A10" s="19" t="s">
        <v>82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49" t="s">
        <v>77</v>
      </c>
    </row>
  </sheetData>
  <mergeCells count="2">
    <mergeCell ref="J1:K1"/>
    <mergeCell ref="L1:M1"/>
  </mergeCells>
  <phoneticPr fontId="16" type="noConversion"/>
  <pageMargins left="0.7" right="0.7" top="0.75" bottom="0.75" header="0.3" footer="0.3"/>
  <pageSetup paperSize="9" orientation="portrait" horizontalDpi="300" verticalDpi="300" r:id="rId1"/>
  <drawing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>
  <documentManagement>
    <lcf76f155ced4ddcb4097134ff3c332f xmlns="f343a81b-e3df-4e86-8ab6-013119a4d707">
      <Terms xmlns="http://schemas.microsoft.com/office/infopath/2007/PartnerControls"/>
    </lcf76f155ced4ddcb4097134ff3c332f>
    <TaxCatchAll xmlns="e1f61282-0a94-474a-b1d8-0842f404620b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F97055F7895164687BCE17D3DC44D64" ma:contentTypeVersion="14" ma:contentTypeDescription="Create a new document." ma:contentTypeScope="" ma:versionID="fdc7f8c0383670fa92696b2e9033b16d">
  <xsd:schema xmlns:xsd="http://www.w3.org/2001/XMLSchema" xmlns:xs="http://www.w3.org/2001/XMLSchema" xmlns:p="http://schemas.microsoft.com/office/2006/metadata/properties" xmlns:ns2="f343a81b-e3df-4e86-8ab6-013119a4d707" xmlns:ns3="e1f61282-0a94-474a-b1d8-0842f404620b" targetNamespace="http://schemas.microsoft.com/office/2006/metadata/properties" ma:root="true" ma:fieldsID="cea71c4196af7e1481d8e4bc68122b6f" ns2:_="" ns3:_="">
    <xsd:import namespace="f343a81b-e3df-4e86-8ab6-013119a4d707"/>
    <xsd:import namespace="e1f61282-0a94-474a-b1d8-0842f404620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43a81b-e3df-4e86-8ab6-013119a4d7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efc99958-89fd-40bf-a91d-c8fefae10c5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f61282-0a94-474a-b1d8-0842f404620b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4601db1e-dac0-436f-8997-28b3e42f3e66}" ma:internalName="TaxCatchAll" ma:showField="CatchAllData" ma:web="e1f61282-0a94-474a-b1d8-0842f404620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FB6DEA9-641A-4526-84C4-C8376AD1807A}">
  <ds:schemaRefs>
    <ds:schemaRef ds:uri="http://schemas.microsoft.com/office/2006/metadata/properties"/>
    <ds:schemaRef ds:uri="f343a81b-e3df-4e86-8ab6-013119a4d707"/>
    <ds:schemaRef ds:uri="http://schemas.microsoft.com/office/infopath/2007/PartnerControls"/>
    <ds:schemaRef ds:uri="e1f61282-0a94-474a-b1d8-0842f404620b"/>
  </ds:schemaRefs>
</ds:datastoreItem>
</file>

<file path=customXml/itemProps2.xml><?xml version="1.0" encoding="utf-8"?>
<ds:datastoreItem xmlns:ds="http://schemas.openxmlformats.org/officeDocument/2006/customXml" ds:itemID="{2688A853-06C0-4BC7-AA1F-403F164D976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2CE175-B71F-4A47-A83F-3AE0436C48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43a81b-e3df-4e86-8ab6-013119a4d707"/>
    <ds:schemaRef ds:uri="e1f61282-0a94-474a-b1d8-0842f404620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EHS Communication (2)</vt:lpstr>
      <vt:lpstr>EHS Incıdent</vt:lpstr>
      <vt:lpstr>CAPA List </vt:lpstr>
      <vt:lpstr>EHS KPI</vt:lpstr>
      <vt:lpstr>Environmental</vt:lpstr>
      <vt:lpstr>'EHS KPI'!Print_Area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Stephane Joly</dc:creator>
  <cp:keywords>C_Unrestricted</cp:keywords>
  <dc:description/>
  <cp:lastModifiedBy>Ahmed Aljassem</cp:lastModifiedBy>
  <cp:revision/>
  <dcterms:created xsi:type="dcterms:W3CDTF">2012-11-07T08:20:43Z</dcterms:created>
  <dcterms:modified xsi:type="dcterms:W3CDTF">2026-09-01T10:16:22Z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Document Confidentiality">
    <vt:lpwstr>Unrestricted</vt:lpwstr>
  </property>
  <property fmtid="{D5CDD505-2E9C-101B-9397-08002B2CF9AE}" pid="4" name="MSIP_Label_6f75f480-7803-4ee9-bb54-84d0635fdbe7_Enabled">
    <vt:lpwstr>true</vt:lpwstr>
  </property>
  <property fmtid="{D5CDD505-2E9C-101B-9397-08002B2CF9AE}" pid="5" name="MSIP_Label_6f75f480-7803-4ee9-bb54-84d0635fdbe7_SetDate">
    <vt:lpwstr>2020-10-30T10:41:11Z</vt:lpwstr>
  </property>
  <property fmtid="{D5CDD505-2E9C-101B-9397-08002B2CF9AE}" pid="6" name="MSIP_Label_6f75f480-7803-4ee9-bb54-84d0635fdbe7_Method">
    <vt:lpwstr>Standard</vt:lpwstr>
  </property>
  <property fmtid="{D5CDD505-2E9C-101B-9397-08002B2CF9AE}" pid="7" name="MSIP_Label_6f75f480-7803-4ee9-bb54-84d0635fdbe7_Name">
    <vt:lpwstr>unrestricted</vt:lpwstr>
  </property>
  <property fmtid="{D5CDD505-2E9C-101B-9397-08002B2CF9AE}" pid="8" name="MSIP_Label_6f75f480-7803-4ee9-bb54-84d0635fdbe7_SiteId">
    <vt:lpwstr>38ae3bcd-9579-4fd4-adda-b42e1495d55a</vt:lpwstr>
  </property>
  <property fmtid="{D5CDD505-2E9C-101B-9397-08002B2CF9AE}" pid="9" name="MSIP_Label_6f75f480-7803-4ee9-bb54-84d0635fdbe7_ActionId">
    <vt:lpwstr>21f9f383-9a6d-4117-9202-7fd56bd685df</vt:lpwstr>
  </property>
  <property fmtid="{D5CDD505-2E9C-101B-9397-08002B2CF9AE}" pid="10" name="MSIP_Label_6f75f480-7803-4ee9-bb54-84d0635fdbe7_ContentBits">
    <vt:lpwstr>0</vt:lpwstr>
  </property>
  <property fmtid="{D5CDD505-2E9C-101B-9397-08002B2CF9AE}" pid="11" name="Document_Confidentiality">
    <vt:lpwstr>Unrestricted</vt:lpwstr>
  </property>
  <property fmtid="{D5CDD505-2E9C-101B-9397-08002B2CF9AE}" pid="12" name="MSIP_Label_36791f77-3d39-4d72-9277-ac879ec799ed_Enabled">
    <vt:lpwstr>true</vt:lpwstr>
  </property>
  <property fmtid="{D5CDD505-2E9C-101B-9397-08002B2CF9AE}" pid="13" name="MSIP_Label_36791f77-3d39-4d72-9277-ac879ec799ed_SetDate">
    <vt:lpwstr>2022-11-07T13:09:28Z</vt:lpwstr>
  </property>
  <property fmtid="{D5CDD505-2E9C-101B-9397-08002B2CF9AE}" pid="14" name="MSIP_Label_36791f77-3d39-4d72-9277-ac879ec799ed_Method">
    <vt:lpwstr>Standard</vt:lpwstr>
  </property>
  <property fmtid="{D5CDD505-2E9C-101B-9397-08002B2CF9AE}" pid="15" name="MSIP_Label_36791f77-3d39-4d72-9277-ac879ec799ed_Name">
    <vt:lpwstr>restricted-default</vt:lpwstr>
  </property>
  <property fmtid="{D5CDD505-2E9C-101B-9397-08002B2CF9AE}" pid="16" name="MSIP_Label_36791f77-3d39-4d72-9277-ac879ec799ed_SiteId">
    <vt:lpwstr>254ba93e-1f6f-48f3-90e6-e2766664b477</vt:lpwstr>
  </property>
  <property fmtid="{D5CDD505-2E9C-101B-9397-08002B2CF9AE}" pid="17" name="MSIP_Label_36791f77-3d39-4d72-9277-ac879ec799ed_ActionId">
    <vt:lpwstr>fd9ee943-ed72-4623-9326-33c6e42cd1e5</vt:lpwstr>
  </property>
  <property fmtid="{D5CDD505-2E9C-101B-9397-08002B2CF9AE}" pid="18" name="MSIP_Label_36791f77-3d39-4d72-9277-ac879ec799ed_ContentBits">
    <vt:lpwstr>0</vt:lpwstr>
  </property>
  <property fmtid="{D5CDD505-2E9C-101B-9397-08002B2CF9AE}" pid="19" name="ContentTypeId">
    <vt:lpwstr>0x0101001F97055F7895164687BCE17D3DC44D64</vt:lpwstr>
  </property>
  <property fmtid="{D5CDD505-2E9C-101B-9397-08002B2CF9AE}" pid="20" name="MediaServiceImageTags">
    <vt:lpwstr/>
  </property>
</Properties>
</file>